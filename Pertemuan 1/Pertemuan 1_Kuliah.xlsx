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98fa972f7408d/Documents/STK 5/MPDW/"/>
    </mc:Choice>
  </mc:AlternateContent>
  <xr:revisionPtr revIDLastSave="898" documentId="8_{2B9B89FE-FE74-4B47-A08A-D4998DC7C2C4}" xr6:coauthVersionLast="47" xr6:coauthVersionMax="47" xr10:uidLastSave="{42511273-4648-4748-AF00-D47E503D2B92}"/>
  <bookViews>
    <workbookView xWindow="-110" yWindow="-110" windowWidth="19420" windowHeight="10300" xr2:uid="{9FCDAAEE-99CB-4919-BC39-D0AE28D83EAC}"/>
  </bookViews>
  <sheets>
    <sheet name="SMA" sheetId="1" r:id="rId1"/>
    <sheet name="DMA" sheetId="2" r:id="rId2"/>
    <sheet name="SES" sheetId="3" r:id="rId3"/>
    <sheet name="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J14" i="1" s="1"/>
  <c r="K15" i="1" s="1"/>
  <c r="L15" i="1" s="1"/>
  <c r="M15" i="1" s="1"/>
  <c r="I14" i="1"/>
  <c r="J15" i="1" s="1"/>
  <c r="K16" i="1" s="1"/>
  <c r="L16" i="1" s="1"/>
  <c r="M16" i="1" s="1"/>
  <c r="I15" i="1"/>
  <c r="I16" i="1"/>
  <c r="I17" i="1"/>
  <c r="I18" i="1"/>
  <c r="I19" i="1"/>
  <c r="I20" i="1"/>
  <c r="I21" i="1"/>
  <c r="I22" i="1"/>
  <c r="I23" i="1"/>
  <c r="I24" i="1"/>
  <c r="I25" i="1"/>
  <c r="I2" i="1"/>
  <c r="Y4" i="4"/>
  <c r="Z4" i="4" s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" i="4"/>
  <c r="I30" i="1"/>
  <c r="Y33" i="4"/>
  <c r="Z33" i="4" s="1"/>
  <c r="Q33" i="4"/>
  <c r="R33" i="4" s="1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J34" i="4"/>
  <c r="J32" i="4"/>
  <c r="J33" i="4"/>
  <c r="I34" i="4"/>
  <c r="I33" i="4"/>
  <c r="Q4" i="4"/>
  <c r="I4" i="4"/>
  <c r="AK31" i="3"/>
  <c r="AK32" i="3" s="1"/>
  <c r="AD31" i="3"/>
  <c r="AD32" i="3" s="1"/>
  <c r="W31" i="3"/>
  <c r="W32" i="3" s="1"/>
  <c r="P32" i="3"/>
  <c r="P33" i="3" s="1"/>
  <c r="P34" i="3" s="1"/>
  <c r="P35" i="3" s="1"/>
  <c r="P31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I32" i="3"/>
  <c r="I33" i="3" s="1"/>
  <c r="I31" i="3"/>
  <c r="W4" i="3"/>
  <c r="W5" i="3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3" i="3"/>
  <c r="AK3" i="3"/>
  <c r="AD3" i="3"/>
  <c r="AK4" i="3"/>
  <c r="AK5" i="3" s="1"/>
  <c r="AK6" i="3" s="1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D4" i="3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P3" i="3"/>
  <c r="P4" i="3" s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4" i="3"/>
  <c r="I5" i="3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3" i="3"/>
  <c r="I3" i="4"/>
  <c r="J3" i="4"/>
  <c r="N5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35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30" i="1"/>
  <c r="AH54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35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34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30" i="1"/>
  <c r="AA5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34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33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T54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33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32" i="1"/>
  <c r="M54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K32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1" i="2"/>
  <c r="N5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32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31" i="2"/>
  <c r="I31" i="2" s="1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30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38" i="2"/>
  <c r="AI36" i="2"/>
  <c r="AR38" i="2"/>
  <c r="AI54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36" i="2"/>
  <c r="Y5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34" i="2"/>
  <c r="X34" i="2"/>
  <c r="BC26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12" i="2"/>
  <c r="AS26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10" i="2"/>
  <c r="AR10" i="2"/>
  <c r="AI26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8" i="2"/>
  <c r="AH8" i="2"/>
  <c r="Y2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6" i="2"/>
  <c r="X6" i="2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31" i="4"/>
  <c r="Y32" i="4" s="1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31" i="4"/>
  <c r="Q32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" i="4"/>
  <c r="Y3" i="4"/>
  <c r="Q3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3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" i="4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30" i="3"/>
  <c r="AL32" i="3"/>
  <c r="AM32" i="3" s="1"/>
  <c r="AN32" i="3" s="1"/>
  <c r="AD30" i="3"/>
  <c r="W30" i="3"/>
  <c r="Q33" i="3"/>
  <c r="P30" i="3"/>
  <c r="L32" i="3"/>
  <c r="K33" i="3"/>
  <c r="L33" i="3" s="1"/>
  <c r="K32" i="3"/>
  <c r="J32" i="3"/>
  <c r="I30" i="3"/>
  <c r="H30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" i="3"/>
  <c r="O2" i="3"/>
  <c r="P2" i="3"/>
  <c r="W2" i="3" s="1"/>
  <c r="I2" i="3"/>
  <c r="AG7" i="1"/>
  <c r="L5" i="3"/>
  <c r="J4" i="3"/>
  <c r="K4" i="3" s="1"/>
  <c r="L4" i="3" s="1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38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34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36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33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34" i="2"/>
  <c r="S32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30" i="2"/>
  <c r="R31" i="2"/>
  <c r="R32" i="2"/>
  <c r="R33" i="2"/>
  <c r="R34" i="2"/>
  <c r="R35" i="2"/>
  <c r="R36" i="2"/>
  <c r="R37" i="2"/>
  <c r="R38" i="2"/>
  <c r="S39" i="2" s="1"/>
  <c r="R39" i="2"/>
  <c r="S40" i="2" s="1"/>
  <c r="R40" i="2"/>
  <c r="R41" i="2"/>
  <c r="S42" i="2" s="1"/>
  <c r="R42" i="2"/>
  <c r="S43" i="2" s="1"/>
  <c r="R43" i="2"/>
  <c r="R44" i="2"/>
  <c r="R45" i="2"/>
  <c r="R46" i="2"/>
  <c r="R47" i="2"/>
  <c r="R48" i="2"/>
  <c r="S49" i="2" s="1"/>
  <c r="R49" i="2"/>
  <c r="R50" i="2"/>
  <c r="R51" i="2"/>
  <c r="R52" i="2"/>
  <c r="R53" i="2"/>
  <c r="R30" i="2"/>
  <c r="S51" i="2"/>
  <c r="S52" i="2"/>
  <c r="S48" i="2"/>
  <c r="S45" i="2"/>
  <c r="S46" i="2"/>
  <c r="S36" i="2"/>
  <c r="S37" i="2"/>
  <c r="S33" i="2"/>
  <c r="S34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12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10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6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8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5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6" i="2"/>
  <c r="V6" i="2"/>
  <c r="U6" i="2"/>
  <c r="W6" i="2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4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" i="2"/>
  <c r="S5" i="1"/>
  <c r="I3" i="2"/>
  <c r="J4" i="2" s="1"/>
  <c r="W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30" i="1"/>
  <c r="J31" i="1"/>
  <c r="M32" i="1" s="1"/>
  <c r="AA26" i="1"/>
  <c r="AH26" i="1"/>
  <c r="AO26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7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" i="1"/>
  <c r="AH7" i="1"/>
  <c r="AE7" i="1"/>
  <c r="AE8" i="1"/>
  <c r="AE9" i="1"/>
  <c r="AE10" i="1"/>
  <c r="AE11" i="1"/>
  <c r="AE12" i="1"/>
  <c r="AF13" i="1" s="1"/>
  <c r="AE13" i="1"/>
  <c r="AF14" i="1" s="1"/>
  <c r="AE14" i="1"/>
  <c r="AF15" i="1" s="1"/>
  <c r="AE15" i="1"/>
  <c r="AF16" i="1" s="1"/>
  <c r="AE16" i="1"/>
  <c r="AF17" i="1" s="1"/>
  <c r="AE17" i="1"/>
  <c r="AF18" i="1" s="1"/>
  <c r="AE18" i="1"/>
  <c r="AF19" i="1" s="1"/>
  <c r="AE19" i="1"/>
  <c r="AE20" i="1"/>
  <c r="AE21" i="1"/>
  <c r="AE22" i="1"/>
  <c r="AE23" i="1"/>
  <c r="AE24" i="1"/>
  <c r="AF25" i="1" s="1"/>
  <c r="AE25" i="1"/>
  <c r="AF8" i="1"/>
  <c r="AF9" i="1"/>
  <c r="AF10" i="1"/>
  <c r="AF11" i="1"/>
  <c r="AF12" i="1"/>
  <c r="AF20" i="1"/>
  <c r="AF21" i="1"/>
  <c r="AF22" i="1"/>
  <c r="AF23" i="1"/>
  <c r="AF24" i="1"/>
  <c r="AF7" i="1"/>
  <c r="AE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6" i="1"/>
  <c r="T26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5" i="1"/>
  <c r="M6" i="1"/>
  <c r="M18" i="1"/>
  <c r="Z8" i="1"/>
  <c r="Y8" i="1"/>
  <c r="Y9" i="1"/>
  <c r="Z9" i="1" s="1"/>
  <c r="Y10" i="1"/>
  <c r="Z10" i="1" s="1"/>
  <c r="Y20" i="1"/>
  <c r="Z20" i="1" s="1"/>
  <c r="Y6" i="1"/>
  <c r="Z6" i="1" s="1"/>
  <c r="X6" i="1"/>
  <c r="Y7" i="1" s="1"/>
  <c r="Z7" i="1" s="1"/>
  <c r="X7" i="1"/>
  <c r="X8" i="1"/>
  <c r="X9" i="1"/>
  <c r="X10" i="1"/>
  <c r="Y11" i="1" s="1"/>
  <c r="Z11" i="1" s="1"/>
  <c r="X11" i="1"/>
  <c r="Y12" i="1" s="1"/>
  <c r="Z12" i="1" s="1"/>
  <c r="X12" i="1"/>
  <c r="Y13" i="1" s="1"/>
  <c r="Z13" i="1" s="1"/>
  <c r="X13" i="1"/>
  <c r="Y14" i="1" s="1"/>
  <c r="Z14" i="1" s="1"/>
  <c r="X14" i="1"/>
  <c r="Y15" i="1" s="1"/>
  <c r="Z15" i="1" s="1"/>
  <c r="X15" i="1"/>
  <c r="Y16" i="1" s="1"/>
  <c r="Z16" i="1" s="1"/>
  <c r="X16" i="1"/>
  <c r="Y17" i="1" s="1"/>
  <c r="Z17" i="1" s="1"/>
  <c r="X17" i="1"/>
  <c r="Y18" i="1" s="1"/>
  <c r="Z18" i="1" s="1"/>
  <c r="X18" i="1"/>
  <c r="Y19" i="1" s="1"/>
  <c r="Z19" i="1" s="1"/>
  <c r="X19" i="1"/>
  <c r="X20" i="1"/>
  <c r="Y21" i="1" s="1"/>
  <c r="Z21" i="1" s="1"/>
  <c r="X21" i="1"/>
  <c r="Y22" i="1" s="1"/>
  <c r="Z22" i="1" s="1"/>
  <c r="X22" i="1"/>
  <c r="Y23" i="1" s="1"/>
  <c r="Z23" i="1" s="1"/>
  <c r="X23" i="1"/>
  <c r="Y24" i="1" s="1"/>
  <c r="Z24" i="1" s="1"/>
  <c r="X24" i="1"/>
  <c r="Y25" i="1" s="1"/>
  <c r="Z25" i="1" s="1"/>
  <c r="X25" i="1"/>
  <c r="X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" i="1"/>
  <c r="S16" i="1"/>
  <c r="R6" i="1"/>
  <c r="S6" i="1" s="1"/>
  <c r="R7" i="1"/>
  <c r="S7" i="1" s="1"/>
  <c r="R11" i="1"/>
  <c r="S11" i="1" s="1"/>
  <c r="R16" i="1"/>
  <c r="R17" i="1"/>
  <c r="S17" i="1" s="1"/>
  <c r="R18" i="1"/>
  <c r="S18" i="1" s="1"/>
  <c r="R19" i="1"/>
  <c r="S19" i="1" s="1"/>
  <c r="R23" i="1"/>
  <c r="S23" i="1" s="1"/>
  <c r="Q5" i="1"/>
  <c r="Q6" i="1"/>
  <c r="Q7" i="1"/>
  <c r="R8" i="1" s="1"/>
  <c r="S8" i="1" s="1"/>
  <c r="Q8" i="1"/>
  <c r="R9" i="1" s="1"/>
  <c r="S9" i="1" s="1"/>
  <c r="Q9" i="1"/>
  <c r="R10" i="1" s="1"/>
  <c r="S10" i="1" s="1"/>
  <c r="Q10" i="1"/>
  <c r="Q11" i="1"/>
  <c r="R12" i="1" s="1"/>
  <c r="S12" i="1" s="1"/>
  <c r="Q12" i="1"/>
  <c r="R13" i="1" s="1"/>
  <c r="S13" i="1" s="1"/>
  <c r="Q13" i="1"/>
  <c r="R14" i="1" s="1"/>
  <c r="S14" i="1" s="1"/>
  <c r="Q14" i="1"/>
  <c r="R15" i="1" s="1"/>
  <c r="S15" i="1" s="1"/>
  <c r="Q15" i="1"/>
  <c r="Q16" i="1"/>
  <c r="Q17" i="1"/>
  <c r="Q18" i="1"/>
  <c r="Q19" i="1"/>
  <c r="R20" i="1" s="1"/>
  <c r="S20" i="1" s="1"/>
  <c r="Q20" i="1"/>
  <c r="R21" i="1" s="1"/>
  <c r="S21" i="1" s="1"/>
  <c r="Q21" i="1"/>
  <c r="R22" i="1" s="1"/>
  <c r="S22" i="1" s="1"/>
  <c r="Q22" i="1"/>
  <c r="Q23" i="1"/>
  <c r="R24" i="1" s="1"/>
  <c r="S24" i="1" s="1"/>
  <c r="Q24" i="1"/>
  <c r="R25" i="1" s="1"/>
  <c r="S25" i="1" s="1"/>
  <c r="Q25" i="1"/>
  <c r="Q4" i="1"/>
  <c r="R5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K5" i="1"/>
  <c r="L5" i="1" s="1"/>
  <c r="M5" i="1" s="1"/>
  <c r="K9" i="1"/>
  <c r="L9" i="1" s="1"/>
  <c r="M9" i="1" s="1"/>
  <c r="J4" i="1"/>
  <c r="J5" i="1"/>
  <c r="K6" i="1" s="1"/>
  <c r="L6" i="1" s="1"/>
  <c r="J6" i="1"/>
  <c r="K7" i="1" s="1"/>
  <c r="L7" i="1" s="1"/>
  <c r="M7" i="1" s="1"/>
  <c r="J7" i="1"/>
  <c r="K8" i="1" s="1"/>
  <c r="L8" i="1" s="1"/>
  <c r="M8" i="1" s="1"/>
  <c r="J8" i="1"/>
  <c r="J9" i="1"/>
  <c r="K10" i="1" s="1"/>
  <c r="L10" i="1" s="1"/>
  <c r="M10" i="1" s="1"/>
  <c r="J10" i="1"/>
  <c r="K11" i="1" s="1"/>
  <c r="L11" i="1" s="1"/>
  <c r="M11" i="1" s="1"/>
  <c r="J11" i="1"/>
  <c r="K12" i="1" s="1"/>
  <c r="L12" i="1" s="1"/>
  <c r="M12" i="1" s="1"/>
  <c r="J12" i="1"/>
  <c r="K13" i="1" s="1"/>
  <c r="L13" i="1" s="1"/>
  <c r="M13" i="1" s="1"/>
  <c r="J13" i="1"/>
  <c r="K14" i="1" s="1"/>
  <c r="L14" i="1" s="1"/>
  <c r="M14" i="1" s="1"/>
  <c r="J16" i="1"/>
  <c r="K17" i="1" s="1"/>
  <c r="L17" i="1" s="1"/>
  <c r="M17" i="1" s="1"/>
  <c r="J17" i="1"/>
  <c r="K18" i="1" s="1"/>
  <c r="L18" i="1" s="1"/>
  <c r="J18" i="1"/>
  <c r="K19" i="1" s="1"/>
  <c r="L19" i="1" s="1"/>
  <c r="M19" i="1" s="1"/>
  <c r="J19" i="1"/>
  <c r="K20" i="1" s="1"/>
  <c r="L20" i="1" s="1"/>
  <c r="M20" i="1" s="1"/>
  <c r="J20" i="1"/>
  <c r="K21" i="1" s="1"/>
  <c r="L21" i="1" s="1"/>
  <c r="M21" i="1" s="1"/>
  <c r="J21" i="1"/>
  <c r="K22" i="1" s="1"/>
  <c r="L22" i="1" s="1"/>
  <c r="M22" i="1" s="1"/>
  <c r="J22" i="1"/>
  <c r="K23" i="1" s="1"/>
  <c r="L23" i="1" s="1"/>
  <c r="M23" i="1" s="1"/>
  <c r="J23" i="1"/>
  <c r="K24" i="1" s="1"/>
  <c r="L24" i="1" s="1"/>
  <c r="M24" i="1" s="1"/>
  <c r="J24" i="1"/>
  <c r="K25" i="1" s="1"/>
  <c r="L25" i="1" s="1"/>
  <c r="M25" i="1" s="1"/>
  <c r="J25" i="1"/>
  <c r="J3" i="1"/>
  <c r="K4" i="1" s="1"/>
  <c r="L4" i="1" s="1"/>
  <c r="M4" i="1" s="1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" i="3"/>
  <c r="H2" i="2"/>
  <c r="M26" i="1" l="1"/>
  <c r="Y5" i="4"/>
  <c r="Z5" i="4" s="1"/>
  <c r="R4" i="4"/>
  <c r="Q5" i="4" s="1"/>
  <c r="R5" i="4" s="1"/>
  <c r="Y34" i="4"/>
  <c r="Z34" i="4" s="1"/>
  <c r="Y35" i="4" s="1"/>
  <c r="Z35" i="4" s="1"/>
  <c r="AA33" i="4"/>
  <c r="AB33" i="4" s="1"/>
  <c r="AC33" i="4" s="1"/>
  <c r="Q34" i="4"/>
  <c r="S33" i="4"/>
  <c r="T33" i="4" s="1"/>
  <c r="AD33" i="3"/>
  <c r="AD34" i="3" s="1"/>
  <c r="AE33" i="3"/>
  <c r="AE32" i="3"/>
  <c r="AF32" i="3" s="1"/>
  <c r="AG32" i="3" s="1"/>
  <c r="X33" i="3"/>
  <c r="W33" i="3"/>
  <c r="AK33" i="3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L33" i="3"/>
  <c r="AM33" i="3" s="1"/>
  <c r="AN33" i="3" s="1"/>
  <c r="AL39" i="3"/>
  <c r="AL38" i="3"/>
  <c r="AL43" i="3"/>
  <c r="AM43" i="3" s="1"/>
  <c r="AN43" i="3" s="1"/>
  <c r="AL40" i="3"/>
  <c r="AM40" i="3" s="1"/>
  <c r="AN40" i="3" s="1"/>
  <c r="P36" i="3"/>
  <c r="P37" i="3" s="1"/>
  <c r="Q36" i="3"/>
  <c r="R36" i="3" s="1"/>
  <c r="R33" i="3"/>
  <c r="S33" i="3" s="1"/>
  <c r="I34" i="3"/>
  <c r="K34" i="3"/>
  <c r="L34" i="3" s="1"/>
  <c r="Q4" i="3"/>
  <c r="R4" i="3" s="1"/>
  <c r="S4" i="3" s="1"/>
  <c r="P5" i="3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Q5" i="3"/>
  <c r="R5" i="3" s="1"/>
  <c r="S5" i="3" s="1"/>
  <c r="L6" i="3"/>
  <c r="O22" i="2"/>
  <c r="O18" i="2"/>
  <c r="L4" i="2"/>
  <c r="K4" i="2"/>
  <c r="M4" i="2" s="1"/>
  <c r="N4" i="2" s="1"/>
  <c r="O4" i="2" s="1"/>
  <c r="O10" i="2"/>
  <c r="O11" i="2"/>
  <c r="AO47" i="1"/>
  <c r="AO45" i="1"/>
  <c r="AO42" i="1"/>
  <c r="AO44" i="1"/>
  <c r="AO37" i="1"/>
  <c r="AO39" i="1"/>
  <c r="AO51" i="1"/>
  <c r="AM36" i="1"/>
  <c r="AN36" i="1" s="1"/>
  <c r="AO36" i="1" s="1"/>
  <c r="AO48" i="1"/>
  <c r="AO41" i="1"/>
  <c r="AO53" i="1"/>
  <c r="AO46" i="1"/>
  <c r="AO40" i="1"/>
  <c r="AO38" i="1"/>
  <c r="AO49" i="1"/>
  <c r="AO50" i="1"/>
  <c r="AO43" i="1"/>
  <c r="AO52" i="1"/>
  <c r="AG35" i="1"/>
  <c r="AS54" i="2"/>
  <c r="K3" i="4"/>
  <c r="L3" i="4" s="1"/>
  <c r="M3" i="4" s="1"/>
  <c r="I32" i="4"/>
  <c r="K32" i="4" s="1"/>
  <c r="R32" i="4"/>
  <c r="S32" i="4" s="1"/>
  <c r="T32" i="4" s="1"/>
  <c r="U32" i="4" s="1"/>
  <c r="Z32" i="4"/>
  <c r="AA32" i="4" s="1"/>
  <c r="AB32" i="4" s="1"/>
  <c r="AC32" i="4" s="1"/>
  <c r="R3" i="4"/>
  <c r="AL36" i="3"/>
  <c r="AM36" i="3" s="1"/>
  <c r="AN36" i="3" s="1"/>
  <c r="AM39" i="3"/>
  <c r="AN39" i="3" s="1"/>
  <c r="AM38" i="3"/>
  <c r="AN38" i="3" s="1"/>
  <c r="AL41" i="3"/>
  <c r="AM41" i="3" s="1"/>
  <c r="AN41" i="3" s="1"/>
  <c r="AL34" i="3"/>
  <c r="AM34" i="3" s="1"/>
  <c r="AN34" i="3" s="1"/>
  <c r="AK30" i="3"/>
  <c r="AL37" i="3"/>
  <c r="AM37" i="3" s="1"/>
  <c r="AN37" i="3" s="1"/>
  <c r="AL42" i="3"/>
  <c r="AM42" i="3" s="1"/>
  <c r="AN42" i="3" s="1"/>
  <c r="AL35" i="3"/>
  <c r="AM35" i="3" s="1"/>
  <c r="AN35" i="3" s="1"/>
  <c r="AL44" i="3"/>
  <c r="AM44" i="3" s="1"/>
  <c r="AN44" i="3" s="1"/>
  <c r="AE34" i="3"/>
  <c r="AF34" i="3" s="1"/>
  <c r="AG34" i="3" s="1"/>
  <c r="AF33" i="3"/>
  <c r="AG33" i="3" s="1"/>
  <c r="Y33" i="3"/>
  <c r="Z33" i="3" s="1"/>
  <c r="X32" i="3"/>
  <c r="Y32" i="3" s="1"/>
  <c r="Z32" i="3" s="1"/>
  <c r="Q34" i="3"/>
  <c r="R34" i="3" s="1"/>
  <c r="S34" i="3" s="1"/>
  <c r="Q37" i="3"/>
  <c r="Q32" i="3"/>
  <c r="Q35" i="3"/>
  <c r="S36" i="3"/>
  <c r="AD2" i="3"/>
  <c r="V34" i="2"/>
  <c r="U34" i="2"/>
  <c r="S35" i="2"/>
  <c r="S38" i="2"/>
  <c r="S41" i="2"/>
  <c r="S44" i="2"/>
  <c r="S47" i="2"/>
  <c r="S50" i="2"/>
  <c r="S53" i="2"/>
  <c r="T33" i="1"/>
  <c r="AN14" i="1"/>
  <c r="AO14" i="1" s="1"/>
  <c r="AN15" i="1"/>
  <c r="AO15" i="1" s="1"/>
  <c r="AN11" i="1"/>
  <c r="AO11" i="1" s="1"/>
  <c r="AN24" i="1"/>
  <c r="AO24" i="1" s="1"/>
  <c r="AM8" i="1"/>
  <c r="AN8" i="1" s="1"/>
  <c r="AO8" i="1" s="1"/>
  <c r="AN20" i="1"/>
  <c r="AO20" i="1" s="1"/>
  <c r="AN13" i="1"/>
  <c r="AO13" i="1" s="1"/>
  <c r="AN19" i="1"/>
  <c r="AO19" i="1" s="1"/>
  <c r="AN23" i="1"/>
  <c r="AO23" i="1" s="1"/>
  <c r="AN16" i="1"/>
  <c r="AO16" i="1" s="1"/>
  <c r="AN17" i="1"/>
  <c r="AO17" i="1" s="1"/>
  <c r="AN9" i="1"/>
  <c r="AO9" i="1" s="1"/>
  <c r="AN10" i="1"/>
  <c r="AO10" i="1" s="1"/>
  <c r="AN21" i="1"/>
  <c r="AO21" i="1" s="1"/>
  <c r="AN22" i="1"/>
  <c r="AO22" i="1" s="1"/>
  <c r="AN12" i="1"/>
  <c r="AO12" i="1" s="1"/>
  <c r="AN25" i="1"/>
  <c r="AO25" i="1" s="1"/>
  <c r="AN18" i="1"/>
  <c r="AO18" i="1" s="1"/>
  <c r="AG25" i="1"/>
  <c r="AH25" i="1" s="1"/>
  <c r="AG11" i="1"/>
  <c r="AH11" i="1" s="1"/>
  <c r="AG13" i="1"/>
  <c r="AH13" i="1" s="1"/>
  <c r="AG16" i="1"/>
  <c r="AH16" i="1" s="1"/>
  <c r="AG23" i="1"/>
  <c r="AH23" i="1" s="1"/>
  <c r="AG9" i="1"/>
  <c r="AH9" i="1" s="1"/>
  <c r="AG20" i="1"/>
  <c r="AH20" i="1" s="1"/>
  <c r="AG24" i="1"/>
  <c r="AH24" i="1" s="1"/>
  <c r="AG8" i="1"/>
  <c r="AH8" i="1" s="1"/>
  <c r="AG21" i="1"/>
  <c r="AH21" i="1" s="1"/>
  <c r="AG14" i="1"/>
  <c r="AH14" i="1" s="1"/>
  <c r="AG18" i="1"/>
  <c r="AH18" i="1" s="1"/>
  <c r="AG19" i="1"/>
  <c r="AH19" i="1" s="1"/>
  <c r="AG12" i="1"/>
  <c r="AH12" i="1" s="1"/>
  <c r="AG17" i="1"/>
  <c r="AH17" i="1" s="1"/>
  <c r="AG10" i="1"/>
  <c r="AH10" i="1" s="1"/>
  <c r="AG22" i="1"/>
  <c r="AH22" i="1" s="1"/>
  <c r="AG15" i="1"/>
  <c r="AH15" i="1" s="1"/>
  <c r="AA34" i="4" l="1"/>
  <c r="AB34" i="4" s="1"/>
  <c r="AC34" i="4" s="1"/>
  <c r="R34" i="4"/>
  <c r="S34" i="4" s="1"/>
  <c r="T34" i="4" s="1"/>
  <c r="AE35" i="3"/>
  <c r="AF35" i="3" s="1"/>
  <c r="AG35" i="3" s="1"/>
  <c r="AD35" i="3"/>
  <c r="W34" i="3"/>
  <c r="X34" i="3"/>
  <c r="Y34" i="3" s="1"/>
  <c r="Z34" i="3" s="1"/>
  <c r="AL45" i="3"/>
  <c r="AM45" i="3" s="1"/>
  <c r="AN45" i="3" s="1"/>
  <c r="AK46" i="3"/>
  <c r="AK47" i="3" s="1"/>
  <c r="AL46" i="3"/>
  <c r="AM46" i="3" s="1"/>
  <c r="AN46" i="3" s="1"/>
  <c r="R35" i="3"/>
  <c r="S35" i="3" s="1"/>
  <c r="S37" i="3"/>
  <c r="R37" i="3"/>
  <c r="P38" i="3"/>
  <c r="Q38" i="3"/>
  <c r="R38" i="3" s="1"/>
  <c r="S38" i="3" s="1"/>
  <c r="S32" i="3"/>
  <c r="R32" i="3"/>
  <c r="I35" i="3"/>
  <c r="K35" i="3"/>
  <c r="L35" i="3" s="1"/>
  <c r="Q10" i="3"/>
  <c r="R10" i="3" s="1"/>
  <c r="S10" i="3" s="1"/>
  <c r="Q16" i="3"/>
  <c r="R16" i="3" s="1"/>
  <c r="S16" i="3" s="1"/>
  <c r="P22" i="3"/>
  <c r="P23" i="3" s="1"/>
  <c r="P24" i="3" s="1"/>
  <c r="P25" i="3" s="1"/>
  <c r="Q22" i="3"/>
  <c r="R22" i="3" s="1"/>
  <c r="S22" i="3" s="1"/>
  <c r="Q8" i="3"/>
  <c r="R8" i="3" s="1"/>
  <c r="S8" i="3" s="1"/>
  <c r="Q17" i="3"/>
  <c r="R17" i="3" s="1"/>
  <c r="S17" i="3" s="1"/>
  <c r="Q11" i="3"/>
  <c r="R11" i="3" s="1"/>
  <c r="S11" i="3" s="1"/>
  <c r="L7" i="3"/>
  <c r="O12" i="2"/>
  <c r="O14" i="2"/>
  <c r="O13" i="2"/>
  <c r="O20" i="2"/>
  <c r="O6" i="2"/>
  <c r="O17" i="2"/>
  <c r="O24" i="2"/>
  <c r="O15" i="2"/>
  <c r="O5" i="2"/>
  <c r="O19" i="2"/>
  <c r="O23" i="2"/>
  <c r="O8" i="2"/>
  <c r="O16" i="2"/>
  <c r="O9" i="2"/>
  <c r="O7" i="2"/>
  <c r="O21" i="2"/>
  <c r="AO54" i="1"/>
  <c r="K32" i="2"/>
  <c r="M32" i="2" s="1"/>
  <c r="N32" i="2" s="1"/>
  <c r="O32" i="2" s="1"/>
  <c r="L32" i="2"/>
  <c r="M33" i="4"/>
  <c r="L32" i="4"/>
  <c r="M32" i="4" s="1"/>
  <c r="S3" i="4"/>
  <c r="T3" i="4" s="1"/>
  <c r="U3" i="4" s="1"/>
  <c r="J4" i="4"/>
  <c r="I5" i="4" s="1"/>
  <c r="X11" i="3"/>
  <c r="Y11" i="3" s="1"/>
  <c r="Z11" i="3" s="1"/>
  <c r="Q7" i="3"/>
  <c r="R7" i="3" s="1"/>
  <c r="S7" i="3" s="1"/>
  <c r="Q14" i="3"/>
  <c r="R14" i="3" s="1"/>
  <c r="S14" i="3" s="1"/>
  <c r="Q21" i="3"/>
  <c r="R21" i="3" s="1"/>
  <c r="S21" i="3" s="1"/>
  <c r="X17" i="3"/>
  <c r="Q9" i="3"/>
  <c r="R9" i="3" s="1"/>
  <c r="S9" i="3" s="1"/>
  <c r="Q19" i="3"/>
  <c r="R19" i="3" s="1"/>
  <c r="S19" i="3" s="1"/>
  <c r="Q15" i="3"/>
  <c r="R15" i="3" s="1"/>
  <c r="S15" i="3" s="1"/>
  <c r="Q18" i="3"/>
  <c r="R18" i="3" s="1"/>
  <c r="S18" i="3" s="1"/>
  <c r="Q20" i="3"/>
  <c r="R20" i="3" s="1"/>
  <c r="S20" i="3" s="1"/>
  <c r="Q12" i="3"/>
  <c r="R12" i="3" s="1"/>
  <c r="S12" i="3" s="1"/>
  <c r="Q13" i="3"/>
  <c r="R13" i="3" s="1"/>
  <c r="S13" i="3" s="1"/>
  <c r="Q6" i="3"/>
  <c r="R6" i="3" s="1"/>
  <c r="S6" i="3" s="1"/>
  <c r="X5" i="3"/>
  <c r="Y5" i="3" s="1"/>
  <c r="Z5" i="3" s="1"/>
  <c r="X4" i="3"/>
  <c r="AK2" i="3"/>
  <c r="W34" i="2"/>
  <c r="AP38" i="2"/>
  <c r="AP10" i="2"/>
  <c r="AF8" i="2"/>
  <c r="J5" i="4" l="1"/>
  <c r="K5" i="4" s="1"/>
  <c r="L5" i="4" s="1"/>
  <c r="AE36" i="3"/>
  <c r="AF36" i="3" s="1"/>
  <c r="AG36" i="3" s="1"/>
  <c r="AD36" i="3"/>
  <c r="W35" i="3"/>
  <c r="X35" i="3"/>
  <c r="Y35" i="3" s="1"/>
  <c r="Z35" i="3" s="1"/>
  <c r="AL47" i="3"/>
  <c r="AM47" i="3" s="1"/>
  <c r="AN47" i="3" s="1"/>
  <c r="AK48" i="3"/>
  <c r="AL48" i="3"/>
  <c r="AM48" i="3" s="1"/>
  <c r="AN48" i="3" s="1"/>
  <c r="Q39" i="3"/>
  <c r="R39" i="3" s="1"/>
  <c r="S39" i="3" s="1"/>
  <c r="P39" i="3"/>
  <c r="K36" i="3"/>
  <c r="L36" i="3" s="1"/>
  <c r="I36" i="3"/>
  <c r="Q23" i="3"/>
  <c r="R23" i="3" s="1"/>
  <c r="S23" i="3" s="1"/>
  <c r="Q25" i="3"/>
  <c r="R25" i="3" s="1"/>
  <c r="S25" i="3" s="1"/>
  <c r="Q24" i="3"/>
  <c r="R24" i="3" s="1"/>
  <c r="S24" i="3" s="1"/>
  <c r="Y4" i="3"/>
  <c r="Z4" i="3" s="1"/>
  <c r="L8" i="3"/>
  <c r="K4" i="4"/>
  <c r="L4" i="4" s="1"/>
  <c r="M4" i="4" s="1"/>
  <c r="O26" i="2"/>
  <c r="Z3" i="4"/>
  <c r="I35" i="4"/>
  <c r="J35" i="4" s="1"/>
  <c r="Q35" i="4"/>
  <c r="U34" i="4"/>
  <c r="U33" i="4"/>
  <c r="X21" i="3"/>
  <c r="Y21" i="3" s="1"/>
  <c r="Z21" i="3" s="1"/>
  <c r="Y17" i="3"/>
  <c r="Z17" i="3" s="1"/>
  <c r="X6" i="3"/>
  <c r="Y6" i="3" s="1"/>
  <c r="Z6" i="3" s="1"/>
  <c r="X10" i="3"/>
  <c r="Y10" i="3" s="1"/>
  <c r="Z10" i="3" s="1"/>
  <c r="X12" i="3"/>
  <c r="Y12" i="3" s="1"/>
  <c r="Z12" i="3" s="1"/>
  <c r="AE4" i="3"/>
  <c r="AF4" i="3" s="1"/>
  <c r="AG4" i="3" s="1"/>
  <c r="AL4" i="3"/>
  <c r="AQ38" i="2"/>
  <c r="AE36" i="2"/>
  <c r="AF36" i="2"/>
  <c r="AZ12" i="2"/>
  <c r="AQ10" i="2"/>
  <c r="AE8" i="2"/>
  <c r="AG8" i="2" s="1"/>
  <c r="I6" i="4" l="1"/>
  <c r="J6" i="4" s="1"/>
  <c r="R35" i="4"/>
  <c r="S35" i="4" s="1"/>
  <c r="T35" i="4" s="1"/>
  <c r="I36" i="4"/>
  <c r="J36" i="4" s="1"/>
  <c r="S26" i="3"/>
  <c r="AD37" i="3"/>
  <c r="AE37" i="3"/>
  <c r="AF37" i="3" s="1"/>
  <c r="AG37" i="3" s="1"/>
  <c r="W36" i="3"/>
  <c r="X36" i="3"/>
  <c r="Y36" i="3" s="1"/>
  <c r="Z36" i="3" s="1"/>
  <c r="AK49" i="3"/>
  <c r="AL49" i="3"/>
  <c r="AM49" i="3" s="1"/>
  <c r="AN49" i="3" s="1"/>
  <c r="P40" i="3"/>
  <c r="Q40" i="3"/>
  <c r="R40" i="3" s="1"/>
  <c r="S40" i="3" s="1"/>
  <c r="I37" i="3"/>
  <c r="K37" i="3"/>
  <c r="L37" i="3" s="1"/>
  <c r="L9" i="3"/>
  <c r="M5" i="4"/>
  <c r="O54" i="2"/>
  <c r="M35" i="4"/>
  <c r="M34" i="4"/>
  <c r="AA3" i="4"/>
  <c r="AB3" i="4" s="1"/>
  <c r="AC3" i="4" s="1"/>
  <c r="S4" i="4"/>
  <c r="T4" i="4" s="1"/>
  <c r="U4" i="4" s="1"/>
  <c r="AE11" i="3"/>
  <c r="AF11" i="3" s="1"/>
  <c r="AG11" i="3" s="1"/>
  <c r="AE12" i="3"/>
  <c r="X7" i="3"/>
  <c r="Y7" i="3" s="1"/>
  <c r="Z7" i="3" s="1"/>
  <c r="X14" i="3"/>
  <c r="Y14" i="3" s="1"/>
  <c r="Z14" i="3" s="1"/>
  <c r="X20" i="3"/>
  <c r="Y20" i="3" s="1"/>
  <c r="Z20" i="3" s="1"/>
  <c r="X13" i="3"/>
  <c r="Y13" i="3" s="1"/>
  <c r="Z13" i="3" s="1"/>
  <c r="X8" i="3"/>
  <c r="Y8" i="3" s="1"/>
  <c r="Z8" i="3" s="1"/>
  <c r="X25" i="3"/>
  <c r="Y25" i="3" s="1"/>
  <c r="Z25" i="3" s="1"/>
  <c r="X9" i="3"/>
  <c r="Y9" i="3" s="1"/>
  <c r="Z9" i="3" s="1"/>
  <c r="X23" i="3"/>
  <c r="Y23" i="3" s="1"/>
  <c r="Z23" i="3" s="1"/>
  <c r="X19" i="3"/>
  <c r="Y19" i="3" s="1"/>
  <c r="Z19" i="3" s="1"/>
  <c r="X22" i="3"/>
  <c r="Y22" i="3" s="1"/>
  <c r="Z22" i="3" s="1"/>
  <c r="X16" i="3"/>
  <c r="Y16" i="3" s="1"/>
  <c r="Z16" i="3" s="1"/>
  <c r="X24" i="3"/>
  <c r="Y24" i="3" s="1"/>
  <c r="Z24" i="3" s="1"/>
  <c r="X18" i="3"/>
  <c r="Y18" i="3" s="1"/>
  <c r="Z18" i="3" s="1"/>
  <c r="X15" i="3"/>
  <c r="Y15" i="3" s="1"/>
  <c r="Z15" i="3" s="1"/>
  <c r="AE6" i="3"/>
  <c r="AE5" i="3"/>
  <c r="AF5" i="3" s="1"/>
  <c r="AG5" i="3" s="1"/>
  <c r="AL5" i="3"/>
  <c r="AG36" i="2"/>
  <c r="BA12" i="2"/>
  <c r="K6" i="4" l="1"/>
  <c r="L6" i="4" s="1"/>
  <c r="M6" i="4" s="1"/>
  <c r="I7" i="4"/>
  <c r="J7" i="4"/>
  <c r="K7" i="4" s="1"/>
  <c r="L7" i="4" s="1"/>
  <c r="M7" i="4" s="1"/>
  <c r="Q36" i="4"/>
  <c r="R36" i="4" s="1"/>
  <c r="S36" i="4" s="1"/>
  <c r="T36" i="4" s="1"/>
  <c r="AD38" i="3"/>
  <c r="AE38" i="3"/>
  <c r="AF38" i="3" s="1"/>
  <c r="AG38" i="3" s="1"/>
  <c r="W37" i="3"/>
  <c r="X37" i="3"/>
  <c r="Y37" i="3" s="1"/>
  <c r="Z37" i="3" s="1"/>
  <c r="AL50" i="3"/>
  <c r="AM50" i="3" s="1"/>
  <c r="AN50" i="3" s="1"/>
  <c r="AK50" i="3"/>
  <c r="P41" i="3"/>
  <c r="Q41" i="3"/>
  <c r="I38" i="3"/>
  <c r="K38" i="3"/>
  <c r="L38" i="3" s="1"/>
  <c r="L10" i="3"/>
  <c r="M36" i="4"/>
  <c r="Q6" i="4"/>
  <c r="R6" i="4" s="1"/>
  <c r="Z26" i="3"/>
  <c r="AE22" i="3"/>
  <c r="AF22" i="3" s="1"/>
  <c r="AG22" i="3" s="1"/>
  <c r="AE15" i="3"/>
  <c r="AF15" i="3" s="1"/>
  <c r="AG15" i="3" s="1"/>
  <c r="AE7" i="3"/>
  <c r="AF7" i="3" s="1"/>
  <c r="AG7" i="3" s="1"/>
  <c r="AL7" i="3"/>
  <c r="AL12" i="3"/>
  <c r="AF12" i="3"/>
  <c r="AG12" i="3" s="1"/>
  <c r="AE21" i="3"/>
  <c r="AF21" i="3" s="1"/>
  <c r="AG21" i="3" s="1"/>
  <c r="AF6" i="3"/>
  <c r="AG6" i="3" s="1"/>
  <c r="AM4" i="3"/>
  <c r="AN4" i="3" s="1"/>
  <c r="AM5" i="3"/>
  <c r="AN5" i="3" s="1"/>
  <c r="AL6" i="3"/>
  <c r="AA35" i="4" l="1"/>
  <c r="AB35" i="4" s="1"/>
  <c r="AC35" i="4" s="1"/>
  <c r="Y36" i="4"/>
  <c r="Z36" i="4" s="1"/>
  <c r="I37" i="4"/>
  <c r="J37" i="4" s="1"/>
  <c r="I8" i="4"/>
  <c r="AD39" i="3"/>
  <c r="AE39" i="3"/>
  <c r="AF39" i="3" s="1"/>
  <c r="AG39" i="3" s="1"/>
  <c r="W38" i="3"/>
  <c r="X38" i="3"/>
  <c r="Y38" i="3" s="1"/>
  <c r="Z38" i="3" s="1"/>
  <c r="AK51" i="3"/>
  <c r="AL51" i="3"/>
  <c r="AM51" i="3" s="1"/>
  <c r="AN51" i="3" s="1"/>
  <c r="P42" i="3"/>
  <c r="Q42" i="3"/>
  <c r="R41" i="3"/>
  <c r="S41" i="3" s="1"/>
  <c r="I39" i="3"/>
  <c r="K39" i="3"/>
  <c r="L39" i="3" s="1"/>
  <c r="L11" i="3"/>
  <c r="AA4" i="4"/>
  <c r="AB4" i="4" s="1"/>
  <c r="AC4" i="4" s="1"/>
  <c r="U35" i="4"/>
  <c r="S5" i="4"/>
  <c r="T5" i="4" s="1"/>
  <c r="U5" i="4" s="1"/>
  <c r="Y6" i="4"/>
  <c r="Z6" i="4" s="1"/>
  <c r="AM6" i="3"/>
  <c r="AN6" i="3" s="1"/>
  <c r="AL22" i="3"/>
  <c r="AE18" i="3"/>
  <c r="AF18" i="3" s="1"/>
  <c r="AG18" i="3" s="1"/>
  <c r="AE24" i="3"/>
  <c r="AF24" i="3" s="1"/>
  <c r="AG24" i="3" s="1"/>
  <c r="AE14" i="3"/>
  <c r="AF14" i="3" s="1"/>
  <c r="AG14" i="3" s="1"/>
  <c r="AE23" i="3"/>
  <c r="AF23" i="3" s="1"/>
  <c r="AG23" i="3" s="1"/>
  <c r="AL23" i="3"/>
  <c r="AE8" i="3"/>
  <c r="AF8" i="3" s="1"/>
  <c r="AG8" i="3" s="1"/>
  <c r="AL8" i="3"/>
  <c r="AE25" i="3"/>
  <c r="AF25" i="3" s="1"/>
  <c r="AG25" i="3" s="1"/>
  <c r="AE19" i="3"/>
  <c r="AF19" i="3" s="1"/>
  <c r="AG19" i="3" s="1"/>
  <c r="AE9" i="3"/>
  <c r="AF9" i="3" s="1"/>
  <c r="AG9" i="3" s="1"/>
  <c r="AE10" i="3"/>
  <c r="AF10" i="3" s="1"/>
  <c r="AG10" i="3" s="1"/>
  <c r="AL11" i="3"/>
  <c r="AM11" i="3" s="1"/>
  <c r="AN11" i="3" s="1"/>
  <c r="AE13" i="3"/>
  <c r="AF13" i="3" s="1"/>
  <c r="AG13" i="3" s="1"/>
  <c r="AE20" i="3"/>
  <c r="AF20" i="3" s="1"/>
  <c r="AG20" i="3" s="1"/>
  <c r="AE17" i="3"/>
  <c r="AF17" i="3" s="1"/>
  <c r="AG17" i="3" s="1"/>
  <c r="AE16" i="3"/>
  <c r="AF16" i="3" s="1"/>
  <c r="AG16" i="3" s="1"/>
  <c r="J8" i="4" l="1"/>
  <c r="K8" i="4" s="1"/>
  <c r="L8" i="4" s="1"/>
  <c r="M8" i="4" s="1"/>
  <c r="Q37" i="4"/>
  <c r="M37" i="4"/>
  <c r="I38" i="4"/>
  <c r="J38" i="4" s="1"/>
  <c r="AD40" i="3"/>
  <c r="AE40" i="3"/>
  <c r="AF40" i="3" s="1"/>
  <c r="AG40" i="3" s="1"/>
  <c r="W39" i="3"/>
  <c r="X39" i="3"/>
  <c r="Y39" i="3" s="1"/>
  <c r="Z39" i="3" s="1"/>
  <c r="AK52" i="3"/>
  <c r="AL52" i="3"/>
  <c r="AM52" i="3" s="1"/>
  <c r="AN52" i="3" s="1"/>
  <c r="R42" i="3"/>
  <c r="S42" i="3" s="1"/>
  <c r="P43" i="3"/>
  <c r="Q43" i="3"/>
  <c r="R43" i="3" s="1"/>
  <c r="S43" i="3" s="1"/>
  <c r="K40" i="3"/>
  <c r="L40" i="3" s="1"/>
  <c r="I40" i="3"/>
  <c r="L12" i="3"/>
  <c r="Q7" i="4"/>
  <c r="R7" i="4" s="1"/>
  <c r="AG26" i="3"/>
  <c r="AL14" i="3"/>
  <c r="AM14" i="3" s="1"/>
  <c r="AN14" i="3" s="1"/>
  <c r="AM7" i="3"/>
  <c r="AN7" i="3" s="1"/>
  <c r="AL10" i="3"/>
  <c r="AM10" i="3" s="1"/>
  <c r="AN10" i="3" s="1"/>
  <c r="AL9" i="3"/>
  <c r="AM9" i="3" s="1"/>
  <c r="AN9" i="3" s="1"/>
  <c r="AM8" i="3"/>
  <c r="AN8" i="3" s="1"/>
  <c r="AL25" i="3"/>
  <c r="AM25" i="3" s="1"/>
  <c r="AN25" i="3" s="1"/>
  <c r="AL19" i="3"/>
  <c r="AM19" i="3" s="1"/>
  <c r="AN19" i="3" s="1"/>
  <c r="AL18" i="3"/>
  <c r="AM18" i="3" s="1"/>
  <c r="AN18" i="3" s="1"/>
  <c r="AL20" i="3"/>
  <c r="AM20" i="3" s="1"/>
  <c r="AN20" i="3" s="1"/>
  <c r="AM22" i="3"/>
  <c r="AN22" i="3" s="1"/>
  <c r="AL17" i="3"/>
  <c r="AM17" i="3" s="1"/>
  <c r="AN17" i="3" s="1"/>
  <c r="AL16" i="3"/>
  <c r="AM16" i="3" s="1"/>
  <c r="AN16" i="3" s="1"/>
  <c r="AL24" i="3"/>
  <c r="AM24" i="3" s="1"/>
  <c r="AN24" i="3" s="1"/>
  <c r="AM23" i="3"/>
  <c r="AN23" i="3" s="1"/>
  <c r="AL21" i="3"/>
  <c r="AM21" i="3" s="1"/>
  <c r="AN21" i="3" s="1"/>
  <c r="AL13" i="3"/>
  <c r="AM13" i="3" s="1"/>
  <c r="AN13" i="3" s="1"/>
  <c r="AM12" i="3"/>
  <c r="AN12" i="3" s="1"/>
  <c r="AL15" i="3"/>
  <c r="AM15" i="3" s="1"/>
  <c r="AN15" i="3" s="1"/>
  <c r="R37" i="4" l="1"/>
  <c r="S37" i="4" s="1"/>
  <c r="T37" i="4" s="1"/>
  <c r="I39" i="4"/>
  <c r="J39" i="4" s="1"/>
  <c r="I9" i="4"/>
  <c r="AD41" i="3"/>
  <c r="AE41" i="3"/>
  <c r="AF41" i="3" s="1"/>
  <c r="AG41" i="3" s="1"/>
  <c r="W40" i="3"/>
  <c r="X40" i="3"/>
  <c r="Y40" i="3" s="1"/>
  <c r="Z40" i="3" s="1"/>
  <c r="AK53" i="3"/>
  <c r="AL53" i="3"/>
  <c r="AM53" i="3" s="1"/>
  <c r="AN53" i="3" s="1"/>
  <c r="AN54" i="3" s="1"/>
  <c r="P44" i="3"/>
  <c r="Q44" i="3"/>
  <c r="I41" i="3"/>
  <c r="K41" i="3"/>
  <c r="L41" i="3" s="1"/>
  <c r="L13" i="3"/>
  <c r="U36" i="4"/>
  <c r="S6" i="4"/>
  <c r="T6" i="4" s="1"/>
  <c r="U6" i="4" s="1"/>
  <c r="AN26" i="3"/>
  <c r="J9" i="4" l="1"/>
  <c r="K9" i="4" s="1"/>
  <c r="L9" i="4" s="1"/>
  <c r="M9" i="4" s="1"/>
  <c r="AA36" i="4"/>
  <c r="AB36" i="4" s="1"/>
  <c r="AC36" i="4" s="1"/>
  <c r="Y37" i="4"/>
  <c r="Z37" i="4" s="1"/>
  <c r="M38" i="4"/>
  <c r="AA5" i="4"/>
  <c r="AB5" i="4" s="1"/>
  <c r="AC5" i="4" s="1"/>
  <c r="Y7" i="4"/>
  <c r="Z7" i="4" s="1"/>
  <c r="Q8" i="4"/>
  <c r="R8" i="4" s="1"/>
  <c r="AD42" i="3"/>
  <c r="AE42" i="3"/>
  <c r="AF42" i="3" s="1"/>
  <c r="AG42" i="3" s="1"/>
  <c r="W41" i="3"/>
  <c r="X41" i="3"/>
  <c r="Y41" i="3" s="1"/>
  <c r="Z41" i="3" s="1"/>
  <c r="S44" i="3"/>
  <c r="R44" i="3"/>
  <c r="P45" i="3"/>
  <c r="Q45" i="3"/>
  <c r="R45" i="3" s="1"/>
  <c r="S45" i="3" s="1"/>
  <c r="K42" i="3"/>
  <c r="L42" i="3" s="1"/>
  <c r="I42" i="3"/>
  <c r="L14" i="3"/>
  <c r="I40" i="4"/>
  <c r="J40" i="4" s="1"/>
  <c r="S7" i="4"/>
  <c r="T7" i="4" s="1"/>
  <c r="U7" i="4" s="1"/>
  <c r="Y8" i="4" l="1"/>
  <c r="Z8" i="4" s="1"/>
  <c r="AA37" i="4"/>
  <c r="AB37" i="4" s="1"/>
  <c r="AC37" i="4" s="1"/>
  <c r="Y38" i="4"/>
  <c r="Z38" i="4" s="1"/>
  <c r="U37" i="4"/>
  <c r="Q38" i="4"/>
  <c r="M39" i="4"/>
  <c r="Q9" i="4"/>
  <c r="R9" i="4" s="1"/>
  <c r="I10" i="4"/>
  <c r="AD43" i="3"/>
  <c r="AE43" i="3"/>
  <c r="AF43" i="3" s="1"/>
  <c r="AG43" i="3" s="1"/>
  <c r="W42" i="3"/>
  <c r="X42" i="3"/>
  <c r="Y42" i="3" s="1"/>
  <c r="Z42" i="3" s="1"/>
  <c r="P46" i="3"/>
  <c r="Q46" i="3"/>
  <c r="K43" i="3"/>
  <c r="L43" i="3" s="1"/>
  <c r="I43" i="3"/>
  <c r="L15" i="3"/>
  <c r="I41" i="4"/>
  <c r="J41" i="4" s="1"/>
  <c r="M40" i="4"/>
  <c r="S8" i="4"/>
  <c r="T8" i="4" s="1"/>
  <c r="U8" i="4" s="1"/>
  <c r="Y9" i="4" l="1"/>
  <c r="Z9" i="4" s="1"/>
  <c r="J10" i="4"/>
  <c r="K10" i="4" s="1"/>
  <c r="L10" i="4" s="1"/>
  <c r="M10" i="4" s="1"/>
  <c r="AA38" i="4"/>
  <c r="AB38" i="4" s="1"/>
  <c r="AC38" i="4" s="1"/>
  <c r="R38" i="4"/>
  <c r="S38" i="4" s="1"/>
  <c r="T38" i="4" s="1"/>
  <c r="U38" i="4" s="1"/>
  <c r="Q10" i="4"/>
  <c r="R10" i="4" s="1"/>
  <c r="AD44" i="3"/>
  <c r="AE44" i="3"/>
  <c r="AF44" i="3" s="1"/>
  <c r="AG44" i="3" s="1"/>
  <c r="W43" i="3"/>
  <c r="X43" i="3"/>
  <c r="Y43" i="3" s="1"/>
  <c r="Z43" i="3" s="1"/>
  <c r="P47" i="3"/>
  <c r="Q47" i="3"/>
  <c r="R47" i="3" s="1"/>
  <c r="S47" i="3" s="1"/>
  <c r="R46" i="3"/>
  <c r="S46" i="3" s="1"/>
  <c r="I44" i="3"/>
  <c r="K44" i="3"/>
  <c r="L44" i="3" s="1"/>
  <c r="L16" i="3"/>
  <c r="AA6" i="4"/>
  <c r="AB6" i="4" s="1"/>
  <c r="AC6" i="4" s="1"/>
  <c r="M41" i="4"/>
  <c r="S9" i="4"/>
  <c r="T9" i="4" s="1"/>
  <c r="U9" i="4" s="1"/>
  <c r="Y39" i="4" l="1"/>
  <c r="Z39" i="4" s="1"/>
  <c r="Q39" i="4"/>
  <c r="R39" i="4" s="1"/>
  <c r="S39" i="4" s="1"/>
  <c r="T39" i="4" s="1"/>
  <c r="U39" i="4" s="1"/>
  <c r="I42" i="4"/>
  <c r="J42" i="4" s="1"/>
  <c r="I11" i="4"/>
  <c r="AE45" i="3"/>
  <c r="AF45" i="3" s="1"/>
  <c r="AG45" i="3" s="1"/>
  <c r="AD45" i="3"/>
  <c r="W44" i="3"/>
  <c r="X44" i="3"/>
  <c r="Y44" i="3" s="1"/>
  <c r="Z44" i="3" s="1"/>
  <c r="P48" i="3"/>
  <c r="Q48" i="3"/>
  <c r="R48" i="3" s="1"/>
  <c r="S48" i="3" s="1"/>
  <c r="I45" i="3"/>
  <c r="K45" i="3"/>
  <c r="L45" i="3" s="1"/>
  <c r="L17" i="3"/>
  <c r="AA7" i="4"/>
  <c r="AB7" i="4" s="1"/>
  <c r="AC7" i="4" s="1"/>
  <c r="Y10" i="4"/>
  <c r="Z10" i="4" s="1"/>
  <c r="Q11" i="4"/>
  <c r="R11" i="4" s="1"/>
  <c r="J11" i="4" l="1"/>
  <c r="K11" i="4" s="1"/>
  <c r="L11" i="4" s="1"/>
  <c r="M11" i="4" s="1"/>
  <c r="Y40" i="4"/>
  <c r="Z40" i="4" s="1"/>
  <c r="Q40" i="4"/>
  <c r="R40" i="4" s="1"/>
  <c r="AD46" i="3"/>
  <c r="AE46" i="3"/>
  <c r="AF46" i="3" s="1"/>
  <c r="AG46" i="3" s="1"/>
  <c r="W45" i="3"/>
  <c r="X45" i="3"/>
  <c r="Y45" i="3" s="1"/>
  <c r="Z45" i="3" s="1"/>
  <c r="P49" i="3"/>
  <c r="Q49" i="3"/>
  <c r="I46" i="3"/>
  <c r="K46" i="3"/>
  <c r="L46" i="3" s="1"/>
  <c r="L18" i="3"/>
  <c r="AA9" i="4"/>
  <c r="AB9" i="4" s="1"/>
  <c r="AC9" i="4" s="1"/>
  <c r="AA8" i="4"/>
  <c r="AB8" i="4" s="1"/>
  <c r="AC8" i="4" s="1"/>
  <c r="I43" i="4"/>
  <c r="J43" i="4" s="1"/>
  <c r="S10" i="4"/>
  <c r="T10" i="4" s="1"/>
  <c r="U10" i="4" s="1"/>
  <c r="AA40" i="4" l="1"/>
  <c r="AB40" i="4" s="1"/>
  <c r="AC40" i="4" s="1"/>
  <c r="Y41" i="4"/>
  <c r="Z41" i="4" s="1"/>
  <c r="AA39" i="4"/>
  <c r="AB39" i="4" s="1"/>
  <c r="AC39" i="4" s="1"/>
  <c r="S40" i="4"/>
  <c r="T40" i="4" s="1"/>
  <c r="U40" i="4" s="1"/>
  <c r="Q41" i="4"/>
  <c r="Y11" i="4"/>
  <c r="Z11" i="4" s="1"/>
  <c r="I12" i="4"/>
  <c r="AD47" i="3"/>
  <c r="AE47" i="3"/>
  <c r="AF47" i="3" s="1"/>
  <c r="AG47" i="3" s="1"/>
  <c r="W46" i="3"/>
  <c r="X46" i="3"/>
  <c r="Y46" i="3" s="1"/>
  <c r="Z46" i="3" s="1"/>
  <c r="P50" i="3"/>
  <c r="Q50" i="3"/>
  <c r="R50" i="3" s="1"/>
  <c r="S50" i="3" s="1"/>
  <c r="R49" i="3"/>
  <c r="S49" i="3" s="1"/>
  <c r="I47" i="3"/>
  <c r="K47" i="3"/>
  <c r="L47" i="3" s="1"/>
  <c r="L19" i="3"/>
  <c r="I44" i="4"/>
  <c r="J44" i="4" s="1"/>
  <c r="M42" i="4"/>
  <c r="Q12" i="4"/>
  <c r="R12" i="4" s="1"/>
  <c r="J12" i="4" l="1"/>
  <c r="K12" i="4" s="1"/>
  <c r="L12" i="4" s="1"/>
  <c r="M12" i="4" s="1"/>
  <c r="AA41" i="4"/>
  <c r="AB41" i="4" s="1"/>
  <c r="AC41" i="4" s="1"/>
  <c r="R41" i="4"/>
  <c r="S41" i="4" s="1"/>
  <c r="T41" i="4" s="1"/>
  <c r="U41" i="4" s="1"/>
  <c r="M43" i="4"/>
  <c r="AE48" i="3"/>
  <c r="AF48" i="3" s="1"/>
  <c r="AG48" i="3" s="1"/>
  <c r="AD48" i="3"/>
  <c r="W47" i="3"/>
  <c r="X47" i="3"/>
  <c r="Y47" i="3" s="1"/>
  <c r="Z47" i="3" s="1"/>
  <c r="P51" i="3"/>
  <c r="Q51" i="3"/>
  <c r="R51" i="3" s="1"/>
  <c r="S51" i="3" s="1"/>
  <c r="I48" i="3"/>
  <c r="K48" i="3"/>
  <c r="L48" i="3" s="1"/>
  <c r="L20" i="3"/>
  <c r="AA10" i="4"/>
  <c r="AB10" i="4" s="1"/>
  <c r="AC10" i="4" s="1"/>
  <c r="I45" i="4"/>
  <c r="J45" i="4" s="1"/>
  <c r="S11" i="4"/>
  <c r="T11" i="4" s="1"/>
  <c r="U11" i="4" s="1"/>
  <c r="Y42" i="4" l="1"/>
  <c r="Z42" i="4" s="1"/>
  <c r="Q42" i="4"/>
  <c r="R42" i="4"/>
  <c r="Q43" i="4" s="1"/>
  <c r="M44" i="4"/>
  <c r="Y12" i="4"/>
  <c r="Z12" i="4" s="1"/>
  <c r="I13" i="4"/>
  <c r="AD49" i="3"/>
  <c r="AE49" i="3"/>
  <c r="AF49" i="3" s="1"/>
  <c r="AG49" i="3" s="1"/>
  <c r="X48" i="3"/>
  <c r="Y48" i="3" s="1"/>
  <c r="Z48" i="3" s="1"/>
  <c r="W48" i="3"/>
  <c r="P52" i="3"/>
  <c r="Q52" i="3"/>
  <c r="R52" i="3" s="1"/>
  <c r="S52" i="3" s="1"/>
  <c r="I49" i="3"/>
  <c r="K49" i="3"/>
  <c r="L49" i="3" s="1"/>
  <c r="L21" i="3"/>
  <c r="M45" i="4"/>
  <c r="Q13" i="4"/>
  <c r="R13" i="4" s="1"/>
  <c r="J13" i="4" l="1"/>
  <c r="K13" i="4" s="1"/>
  <c r="L13" i="4" s="1"/>
  <c r="M13" i="4" s="1"/>
  <c r="S42" i="4"/>
  <c r="T42" i="4" s="1"/>
  <c r="AA42" i="4"/>
  <c r="AB42" i="4" s="1"/>
  <c r="AC42" i="4" s="1"/>
  <c r="R43" i="4"/>
  <c r="S43" i="4"/>
  <c r="T43" i="4" s="1"/>
  <c r="U42" i="4"/>
  <c r="I46" i="4"/>
  <c r="J46" i="4" s="1"/>
  <c r="Q14" i="4"/>
  <c r="R14" i="4" s="1"/>
  <c r="AD50" i="3"/>
  <c r="AE50" i="3"/>
  <c r="AF50" i="3" s="1"/>
  <c r="AG50" i="3" s="1"/>
  <c r="X49" i="3"/>
  <c r="Y49" i="3" s="1"/>
  <c r="Z49" i="3" s="1"/>
  <c r="W49" i="3"/>
  <c r="Q53" i="3"/>
  <c r="R53" i="3" s="1"/>
  <c r="S53" i="3" s="1"/>
  <c r="S54" i="3" s="1"/>
  <c r="P53" i="3"/>
  <c r="I50" i="3"/>
  <c r="K50" i="3"/>
  <c r="L50" i="3" s="1"/>
  <c r="L22" i="3"/>
  <c r="U43" i="4"/>
  <c r="AA11" i="4"/>
  <c r="AB11" i="4" s="1"/>
  <c r="AC11" i="4" s="1"/>
  <c r="S12" i="4"/>
  <c r="T12" i="4" s="1"/>
  <c r="U12" i="4" s="1"/>
  <c r="Y43" i="4" l="1"/>
  <c r="Z43" i="4" s="1"/>
  <c r="Q44" i="4"/>
  <c r="I47" i="4"/>
  <c r="J47" i="4" s="1"/>
  <c r="M46" i="4"/>
  <c r="Y13" i="4"/>
  <c r="Z13" i="4" s="1"/>
  <c r="I14" i="4"/>
  <c r="AE51" i="3"/>
  <c r="AF51" i="3" s="1"/>
  <c r="AG51" i="3" s="1"/>
  <c r="AD51" i="3"/>
  <c r="X50" i="3"/>
  <c r="Y50" i="3" s="1"/>
  <c r="Z50" i="3" s="1"/>
  <c r="W50" i="3"/>
  <c r="I51" i="3"/>
  <c r="K51" i="3"/>
  <c r="L51" i="3" s="1"/>
  <c r="L23" i="3"/>
  <c r="M47" i="4"/>
  <c r="S13" i="4"/>
  <c r="T13" i="4" s="1"/>
  <c r="U13" i="4" s="1"/>
  <c r="Y14" i="4" l="1"/>
  <c r="Z14" i="4" s="1"/>
  <c r="J14" i="4"/>
  <c r="K14" i="4" s="1"/>
  <c r="L14" i="4" s="1"/>
  <c r="M14" i="4" s="1"/>
  <c r="AA43" i="4"/>
  <c r="AB43" i="4" s="1"/>
  <c r="AC43" i="4" s="1"/>
  <c r="R44" i="4"/>
  <c r="S44" i="4" s="1"/>
  <c r="T44" i="4" s="1"/>
  <c r="U44" i="4" s="1"/>
  <c r="I48" i="4"/>
  <c r="J48" i="4" s="1"/>
  <c r="Q15" i="4"/>
  <c r="R15" i="4" s="1"/>
  <c r="AD52" i="3"/>
  <c r="AE52" i="3"/>
  <c r="AF52" i="3" s="1"/>
  <c r="AG52" i="3" s="1"/>
  <c r="X51" i="3"/>
  <c r="Y51" i="3" s="1"/>
  <c r="Z51" i="3" s="1"/>
  <c r="W51" i="3"/>
  <c r="K52" i="3"/>
  <c r="L52" i="3" s="1"/>
  <c r="I52" i="3"/>
  <c r="L24" i="3"/>
  <c r="S14" i="4"/>
  <c r="T14" i="4" s="1"/>
  <c r="U14" i="4" s="1"/>
  <c r="Q45" i="4"/>
  <c r="Y44" i="4" l="1"/>
  <c r="Z44" i="4" s="1"/>
  <c r="R45" i="4"/>
  <c r="S45" i="4" s="1"/>
  <c r="T45" i="4" s="1"/>
  <c r="Q16" i="4"/>
  <c r="R16" i="4" s="1"/>
  <c r="I15" i="4"/>
  <c r="AD53" i="3"/>
  <c r="AE53" i="3"/>
  <c r="AF53" i="3" s="1"/>
  <c r="AG53" i="3" s="1"/>
  <c r="AG54" i="3" s="1"/>
  <c r="X52" i="3"/>
  <c r="Y52" i="3" s="1"/>
  <c r="Z52" i="3" s="1"/>
  <c r="W52" i="3"/>
  <c r="I53" i="3"/>
  <c r="K53" i="3"/>
  <c r="L53" i="3" s="1"/>
  <c r="L54" i="3" s="1"/>
  <c r="L25" i="3"/>
  <c r="L26" i="3" s="1"/>
  <c r="AA12" i="4"/>
  <c r="AB12" i="4" s="1"/>
  <c r="AC12" i="4" s="1"/>
  <c r="AA13" i="4"/>
  <c r="AB13" i="4" s="1"/>
  <c r="AC13" i="4" s="1"/>
  <c r="I49" i="4"/>
  <c r="J49" i="4" s="1"/>
  <c r="S15" i="4"/>
  <c r="T15" i="4" s="1"/>
  <c r="U15" i="4" s="1"/>
  <c r="J15" i="4" l="1"/>
  <c r="K15" i="4" s="1"/>
  <c r="L15" i="4" s="1"/>
  <c r="M15" i="4" s="1"/>
  <c r="Y45" i="4"/>
  <c r="Z45" i="4" s="1"/>
  <c r="M48" i="4"/>
  <c r="Y15" i="4"/>
  <c r="Z15" i="4" s="1"/>
  <c r="W53" i="3"/>
  <c r="X53" i="3"/>
  <c r="Y53" i="3" s="1"/>
  <c r="Z53" i="3" s="1"/>
  <c r="Z54" i="3" s="1"/>
  <c r="M49" i="4"/>
  <c r="Q46" i="4"/>
  <c r="U45" i="4"/>
  <c r="Q17" i="4"/>
  <c r="R17" i="4" s="1"/>
  <c r="I16" i="4" l="1"/>
  <c r="Y46" i="4"/>
  <c r="Z46" i="4" s="1"/>
  <c r="AA44" i="4"/>
  <c r="AB44" i="4" s="1"/>
  <c r="AC44" i="4" s="1"/>
  <c r="R46" i="4"/>
  <c r="Q47" i="4" s="1"/>
  <c r="I50" i="4"/>
  <c r="J50" i="4" s="1"/>
  <c r="Y16" i="4"/>
  <c r="Z16" i="4" s="1"/>
  <c r="AA14" i="4"/>
  <c r="AB14" i="4" s="1"/>
  <c r="AC14" i="4" s="1"/>
  <c r="S16" i="4"/>
  <c r="T16" i="4" s="1"/>
  <c r="U16" i="4" s="1"/>
  <c r="J16" i="4" l="1"/>
  <c r="I17" i="4" s="1"/>
  <c r="AA46" i="4"/>
  <c r="AB46" i="4" s="1"/>
  <c r="AC46" i="4" s="1"/>
  <c r="AA45" i="4"/>
  <c r="AB45" i="4" s="1"/>
  <c r="AC45" i="4" s="1"/>
  <c r="S46" i="4"/>
  <c r="T46" i="4" s="1"/>
  <c r="U46" i="4" s="1"/>
  <c r="R47" i="4"/>
  <c r="S47" i="4" s="1"/>
  <c r="T47" i="4" s="1"/>
  <c r="U47" i="4" s="1"/>
  <c r="I51" i="4"/>
  <c r="J51" i="4" s="1"/>
  <c r="Y17" i="4"/>
  <c r="Z17" i="4" s="1"/>
  <c r="Q18" i="4"/>
  <c r="R18" i="4" s="1"/>
  <c r="M50" i="4"/>
  <c r="AA15" i="4"/>
  <c r="AB15" i="4" s="1"/>
  <c r="S17" i="4"/>
  <c r="T17" i="4" s="1"/>
  <c r="U17" i="4" s="1"/>
  <c r="K16" i="4" l="1"/>
  <c r="L16" i="4" s="1"/>
  <c r="M16" i="4" s="1"/>
  <c r="J17" i="4"/>
  <c r="K17" i="4" s="1"/>
  <c r="L17" i="4" s="1"/>
  <c r="M17" i="4" s="1"/>
  <c r="Y47" i="4"/>
  <c r="Z47" i="4" s="1"/>
  <c r="Q48" i="4"/>
  <c r="I52" i="4"/>
  <c r="J52" i="4" s="1"/>
  <c r="Y18" i="4"/>
  <c r="Z18" i="4" s="1"/>
  <c r="Q19" i="4"/>
  <c r="R19" i="4" s="1"/>
  <c r="AC15" i="4"/>
  <c r="S18" i="4"/>
  <c r="T18" i="4" s="1"/>
  <c r="U18" i="4" s="1"/>
  <c r="AA47" i="4" l="1"/>
  <c r="AB47" i="4" s="1"/>
  <c r="AC47" i="4" s="1"/>
  <c r="R48" i="4"/>
  <c r="Q49" i="4" s="1"/>
  <c r="Q20" i="4"/>
  <c r="R20" i="4" s="1"/>
  <c r="I18" i="4"/>
  <c r="I53" i="4"/>
  <c r="J53" i="4" s="1"/>
  <c r="AA17" i="4"/>
  <c r="AB17" i="4" s="1"/>
  <c r="M51" i="4"/>
  <c r="AA16" i="4"/>
  <c r="AB16" i="4" s="1"/>
  <c r="AC16" i="4" s="1"/>
  <c r="S19" i="4"/>
  <c r="T19" i="4" s="1"/>
  <c r="U19" i="4" s="1"/>
  <c r="J18" i="4" l="1"/>
  <c r="K18" i="4" s="1"/>
  <c r="L18" i="4" s="1"/>
  <c r="M18" i="4" s="1"/>
  <c r="Y48" i="4"/>
  <c r="Z48" i="4" s="1"/>
  <c r="S48" i="4"/>
  <c r="T48" i="4" s="1"/>
  <c r="U48" i="4" s="1"/>
  <c r="R49" i="4"/>
  <c r="S49" i="4" s="1"/>
  <c r="T49" i="4" s="1"/>
  <c r="U49" i="4" s="1"/>
  <c r="Y19" i="4"/>
  <c r="Z19" i="4" s="1"/>
  <c r="Q21" i="4"/>
  <c r="R21" i="4" s="1"/>
  <c r="M52" i="4"/>
  <c r="AC17" i="4"/>
  <c r="AA18" i="4" l="1"/>
  <c r="AB18" i="4" s="1"/>
  <c r="AA48" i="4"/>
  <c r="AB48" i="4" s="1"/>
  <c r="AC48" i="4" s="1"/>
  <c r="Q50" i="4"/>
  <c r="R50" i="4" s="1"/>
  <c r="Q51" i="4" s="1"/>
  <c r="I54" i="4"/>
  <c r="J54" i="4" s="1"/>
  <c r="M53" i="4"/>
  <c r="Y20" i="4"/>
  <c r="Z20" i="4" s="1"/>
  <c r="I19" i="4"/>
  <c r="S20" i="4"/>
  <c r="T20" i="4" s="1"/>
  <c r="U20" i="4" s="1"/>
  <c r="Q22" i="4"/>
  <c r="R22" i="4" s="1"/>
  <c r="J19" i="4" l="1"/>
  <c r="K19" i="4" s="1"/>
  <c r="L19" i="4" s="1"/>
  <c r="M19" i="4" s="1"/>
  <c r="Y49" i="4"/>
  <c r="Z49" i="4" s="1"/>
  <c r="S50" i="4"/>
  <c r="T50" i="4" s="1"/>
  <c r="U50" i="4" s="1"/>
  <c r="R51" i="4"/>
  <c r="S51" i="4" s="1"/>
  <c r="T51" i="4" s="1"/>
  <c r="M54" i="4"/>
  <c r="M55" i="4" s="1"/>
  <c r="S21" i="4"/>
  <c r="T21" i="4" s="1"/>
  <c r="U21" i="4" s="1"/>
  <c r="AA19" i="4"/>
  <c r="AB19" i="4" s="1"/>
  <c r="AC18" i="4"/>
  <c r="I20" i="4" l="1"/>
  <c r="AA49" i="4"/>
  <c r="AB49" i="4" s="1"/>
  <c r="AC49" i="4" s="1"/>
  <c r="Y21" i="4"/>
  <c r="Z21" i="4" s="1"/>
  <c r="Q23" i="4"/>
  <c r="R23" i="4" s="1"/>
  <c r="S22" i="4"/>
  <c r="T22" i="4" s="1"/>
  <c r="U22" i="4" s="1"/>
  <c r="Q52" i="4"/>
  <c r="U51" i="4"/>
  <c r="J20" i="4" l="1"/>
  <c r="K20" i="4" s="1"/>
  <c r="L20" i="4" s="1"/>
  <c r="M20" i="4" s="1"/>
  <c r="Y50" i="4"/>
  <c r="Z50" i="4" s="1"/>
  <c r="R52" i="4"/>
  <c r="S52" i="4" s="1"/>
  <c r="T52" i="4" s="1"/>
  <c r="U52" i="4" s="1"/>
  <c r="S23" i="4"/>
  <c r="T23" i="4" s="1"/>
  <c r="U23" i="4" s="1"/>
  <c r="Q24" i="4"/>
  <c r="R24" i="4" s="1"/>
  <c r="AC19" i="4"/>
  <c r="I21" i="4" l="1"/>
  <c r="AA50" i="4"/>
  <c r="AB50" i="4" s="1"/>
  <c r="AC50" i="4" s="1"/>
  <c r="Q53" i="4"/>
  <c r="R53" i="4" s="1"/>
  <c r="Q54" i="4" s="1"/>
  <c r="Q25" i="4"/>
  <c r="R25" i="4" s="1"/>
  <c r="S24" i="4"/>
  <c r="T24" i="4" s="1"/>
  <c r="U24" i="4" s="1"/>
  <c r="J21" i="4" l="1"/>
  <c r="I22" i="4" s="1"/>
  <c r="Y51" i="4"/>
  <c r="Z51" i="4" s="1"/>
  <c r="S53" i="4"/>
  <c r="T53" i="4" s="1"/>
  <c r="U53" i="4" s="1"/>
  <c r="R54" i="4"/>
  <c r="S54" i="4" s="1"/>
  <c r="T54" i="4" s="1"/>
  <c r="AA20" i="4"/>
  <c r="AB20" i="4" s="1"/>
  <c r="AC20" i="4" s="1"/>
  <c r="Y22" i="4"/>
  <c r="Z22" i="4" s="1"/>
  <c r="S25" i="4"/>
  <c r="T25" i="4" s="1"/>
  <c r="U25" i="4" s="1"/>
  <c r="U26" i="4" s="1"/>
  <c r="K21" i="4" l="1"/>
  <c r="L21" i="4" s="1"/>
  <c r="M21" i="4" s="1"/>
  <c r="J22" i="4"/>
  <c r="K22" i="4" s="1"/>
  <c r="L22" i="4" s="1"/>
  <c r="M22" i="4" s="1"/>
  <c r="AA51" i="4"/>
  <c r="AB51" i="4" s="1"/>
  <c r="AC51" i="4" s="1"/>
  <c r="AA21" i="4"/>
  <c r="AB21" i="4" s="1"/>
  <c r="AC21" i="4" s="1"/>
  <c r="U54" i="4"/>
  <c r="U55" i="4" s="1"/>
  <c r="I23" i="4" l="1"/>
  <c r="J23" i="4"/>
  <c r="K23" i="4"/>
  <c r="L23" i="4" s="1"/>
  <c r="M23" i="4" s="1"/>
  <c r="Y52" i="4"/>
  <c r="Z52" i="4" s="1"/>
  <c r="Y23" i="4"/>
  <c r="Z23" i="4" s="1"/>
  <c r="AA52" i="4" l="1"/>
  <c r="AB52" i="4" s="1"/>
  <c r="AC52" i="4" s="1"/>
  <c r="I24" i="4"/>
  <c r="AA22" i="4"/>
  <c r="AB22" i="4" s="1"/>
  <c r="AC22" i="4" s="1"/>
  <c r="J24" i="4" l="1"/>
  <c r="K24" i="4" s="1"/>
  <c r="L24" i="4" s="1"/>
  <c r="M24" i="4" s="1"/>
  <c r="Y53" i="4"/>
  <c r="Z53" i="4" s="1"/>
  <c r="Y24" i="4"/>
  <c r="Z24" i="4" s="1"/>
  <c r="AA53" i="4" l="1"/>
  <c r="AB53" i="4" s="1"/>
  <c r="AC53" i="4" s="1"/>
  <c r="I25" i="4"/>
  <c r="AA23" i="4"/>
  <c r="AB23" i="4" s="1"/>
  <c r="AC23" i="4" s="1"/>
  <c r="Y54" i="4" l="1"/>
  <c r="Z54" i="4" s="1"/>
  <c r="Y25" i="4"/>
  <c r="Z25" i="4" s="1"/>
  <c r="J25" i="4"/>
  <c r="K25" i="4" s="1"/>
  <c r="L25" i="4" s="1"/>
  <c r="M25" i="4" l="1"/>
  <c r="M26" i="4" s="1"/>
  <c r="AA54" i="4"/>
  <c r="AB54" i="4" s="1"/>
  <c r="AC54" i="4" s="1"/>
  <c r="AC55" i="4" s="1"/>
  <c r="AA24" i="4"/>
  <c r="AB24" i="4" s="1"/>
  <c r="AC24" i="4" s="1"/>
  <c r="AA25" i="4" l="1"/>
  <c r="AB25" i="4" s="1"/>
  <c r="AC25" i="4" s="1"/>
  <c r="AC26" i="4" s="1"/>
</calcChain>
</file>

<file path=xl/sharedStrings.xml><?xml version="1.0" encoding="utf-8"?>
<sst xmlns="http://schemas.openxmlformats.org/spreadsheetml/2006/main" count="335" uniqueCount="22">
  <si>
    <t>t</t>
  </si>
  <si>
    <t>advert</t>
  </si>
  <si>
    <t>sales</t>
  </si>
  <si>
    <t>Rataan</t>
  </si>
  <si>
    <t>St</t>
  </si>
  <si>
    <t>Ft</t>
  </si>
  <si>
    <t>m</t>
  </si>
  <si>
    <t>Error</t>
  </si>
  <si>
    <t>%Error</t>
  </si>
  <si>
    <t>S1_t</t>
  </si>
  <si>
    <t>S2_t</t>
  </si>
  <si>
    <t>A_t</t>
  </si>
  <si>
    <t>B_t</t>
  </si>
  <si>
    <t>F_t</t>
  </si>
  <si>
    <t>Lamda</t>
  </si>
  <si>
    <t>tren</t>
  </si>
  <si>
    <t>level</t>
  </si>
  <si>
    <t>%error</t>
  </si>
  <si>
    <t>error</t>
  </si>
  <si>
    <t>α</t>
  </si>
  <si>
    <t>β</t>
  </si>
  <si>
    <t xml:space="preserve">Rataan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</si>
</sst>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1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A477-3E49-4443-A909-CC0D9BFAEABA}">
  <dimension ref="A1:AO55"/>
  <sheetViews>
    <sheetView tabSelected="1" zoomScale="50" zoomScaleNormal="70" workbookViewId="0">
      <selection activeCell="J3" sqref="J3"/>
    </sheetView>
  </sheetViews>
  <sheetFormatPr defaultRowHeight="14.5" x14ac:dyDescent="0.35"/>
  <cols>
    <col min="21" max="21" width="10.26953125" bestFit="1" customWidth="1"/>
  </cols>
  <sheetData>
    <row r="1" spans="1:41" x14ac:dyDescent="0.35">
      <c r="A1" t="s">
        <v>0</v>
      </c>
      <c r="B1" t="s">
        <v>1</v>
      </c>
      <c r="D1" t="s">
        <v>0</v>
      </c>
      <c r="E1" t="s">
        <v>2</v>
      </c>
      <c r="H1" t="s">
        <v>0</v>
      </c>
      <c r="I1" t="s">
        <v>1</v>
      </c>
      <c r="J1" t="s">
        <v>4</v>
      </c>
      <c r="K1" t="s">
        <v>5</v>
      </c>
      <c r="L1" t="s">
        <v>7</v>
      </c>
      <c r="M1" t="s">
        <v>8</v>
      </c>
      <c r="O1" t="s">
        <v>0</v>
      </c>
      <c r="P1" t="s">
        <v>1</v>
      </c>
      <c r="Q1" t="s">
        <v>4</v>
      </c>
      <c r="R1" t="s">
        <v>5</v>
      </c>
      <c r="S1" t="s">
        <v>7</v>
      </c>
      <c r="T1" t="s">
        <v>8</v>
      </c>
      <c r="V1" t="s">
        <v>0</v>
      </c>
      <c r="W1" t="s">
        <v>1</v>
      </c>
      <c r="X1" t="s">
        <v>4</v>
      </c>
      <c r="Y1" t="s">
        <v>5</v>
      </c>
      <c r="Z1" t="s">
        <v>7</v>
      </c>
      <c r="AA1" t="s">
        <v>8</v>
      </c>
      <c r="AC1" s="1" t="s">
        <v>0</v>
      </c>
      <c r="AD1" s="1" t="s">
        <v>1</v>
      </c>
      <c r="AE1" s="1" t="s">
        <v>4</v>
      </c>
      <c r="AF1" s="1" t="s">
        <v>5</v>
      </c>
      <c r="AG1" s="1" t="s">
        <v>7</v>
      </c>
      <c r="AH1" s="1" t="s">
        <v>8</v>
      </c>
      <c r="AJ1" t="s">
        <v>0</v>
      </c>
      <c r="AK1" t="s">
        <v>1</v>
      </c>
      <c r="AL1" t="s">
        <v>4</v>
      </c>
      <c r="AM1" t="s">
        <v>5</v>
      </c>
      <c r="AN1" t="s">
        <v>7</v>
      </c>
      <c r="AO1" t="s">
        <v>8</v>
      </c>
    </row>
    <row r="2" spans="1:41" x14ac:dyDescent="0.35">
      <c r="A2">
        <v>1</v>
      </c>
      <c r="B2">
        <v>25</v>
      </c>
      <c r="D2">
        <v>1</v>
      </c>
      <c r="E2">
        <v>92.8</v>
      </c>
      <c r="H2">
        <v>1</v>
      </c>
      <c r="I2">
        <f>B2+36</f>
        <v>61</v>
      </c>
      <c r="O2">
        <v>1</v>
      </c>
      <c r="P2">
        <f t="shared" ref="P2:P25" si="0">B2+36</f>
        <v>61</v>
      </c>
      <c r="V2">
        <v>1</v>
      </c>
      <c r="W2">
        <f t="shared" ref="W2:W25" si="1">B2+36</f>
        <v>61</v>
      </c>
      <c r="AC2" s="2">
        <v>1</v>
      </c>
      <c r="AD2" s="2">
        <f>B2+36</f>
        <v>61</v>
      </c>
      <c r="AE2" s="2"/>
      <c r="AF2" s="2"/>
      <c r="AG2" s="2"/>
      <c r="AH2" s="2"/>
      <c r="AJ2">
        <v>1</v>
      </c>
      <c r="AK2">
        <f>B2+36</f>
        <v>61</v>
      </c>
    </row>
    <row r="3" spans="1:41" x14ac:dyDescent="0.35">
      <c r="A3">
        <v>2</v>
      </c>
      <c r="B3">
        <v>0</v>
      </c>
      <c r="D3">
        <v>2</v>
      </c>
      <c r="E3">
        <v>79.2</v>
      </c>
      <c r="H3">
        <v>2</v>
      </c>
      <c r="I3">
        <f t="shared" ref="I3:I25" si="2">B3+36</f>
        <v>36</v>
      </c>
      <c r="J3">
        <f>AVERAGE(I2:I3)</f>
        <v>48.5</v>
      </c>
      <c r="O3">
        <v>2</v>
      </c>
      <c r="P3">
        <f t="shared" si="0"/>
        <v>36</v>
      </c>
      <c r="V3">
        <v>2</v>
      </c>
      <c r="W3">
        <f t="shared" si="1"/>
        <v>36</v>
      </c>
      <c r="AC3" s="2">
        <v>2</v>
      </c>
      <c r="AD3" s="2">
        <f t="shared" ref="AD3:AD25" si="3">B3+36</f>
        <v>36</v>
      </c>
      <c r="AE3" s="2"/>
      <c r="AF3" s="2"/>
      <c r="AG3" s="2"/>
      <c r="AH3" s="2"/>
      <c r="AJ3">
        <v>2</v>
      </c>
      <c r="AK3">
        <f t="shared" ref="AK3:AK25" si="4">B3+36</f>
        <v>36</v>
      </c>
    </row>
    <row r="4" spans="1:41" x14ac:dyDescent="0.35">
      <c r="A4">
        <v>3</v>
      </c>
      <c r="B4">
        <v>15</v>
      </c>
      <c r="D4">
        <v>3</v>
      </c>
      <c r="E4">
        <v>84.5</v>
      </c>
      <c r="H4">
        <v>3</v>
      </c>
      <c r="I4">
        <f t="shared" si="2"/>
        <v>51</v>
      </c>
      <c r="J4">
        <f>AVERAGE(I3:I4)</f>
        <v>43.5</v>
      </c>
      <c r="K4">
        <f>J3</f>
        <v>48.5</v>
      </c>
      <c r="L4">
        <f>I4-K4</f>
        <v>2.5</v>
      </c>
      <c r="M4">
        <f>(ABS(L4)/I4)*100</f>
        <v>4.9019607843137258</v>
      </c>
      <c r="O4">
        <v>3</v>
      </c>
      <c r="P4">
        <f t="shared" si="0"/>
        <v>51</v>
      </c>
      <c r="Q4">
        <f>AVERAGE(P2:P4)</f>
        <v>49.333333333333336</v>
      </c>
      <c r="V4">
        <v>3</v>
      </c>
      <c r="W4">
        <f t="shared" si="1"/>
        <v>51</v>
      </c>
      <c r="AC4" s="2">
        <v>3</v>
      </c>
      <c r="AD4" s="2">
        <f t="shared" si="3"/>
        <v>51</v>
      </c>
      <c r="AE4" s="2"/>
      <c r="AF4" s="2"/>
      <c r="AG4" s="2"/>
      <c r="AH4" s="2"/>
      <c r="AJ4">
        <v>3</v>
      </c>
      <c r="AK4">
        <f t="shared" si="4"/>
        <v>51</v>
      </c>
    </row>
    <row r="5" spans="1:41" x14ac:dyDescent="0.35">
      <c r="A5">
        <v>4</v>
      </c>
      <c r="B5">
        <v>10</v>
      </c>
      <c r="D5">
        <v>4</v>
      </c>
      <c r="E5">
        <v>83</v>
      </c>
      <c r="H5">
        <v>4</v>
      </c>
      <c r="I5">
        <f t="shared" si="2"/>
        <v>46</v>
      </c>
      <c r="J5">
        <f t="shared" ref="J5:J25" si="5">AVERAGE(I4:I5)</f>
        <v>48.5</v>
      </c>
      <c r="K5">
        <f t="shared" ref="K5:K25" si="6">J4</f>
        <v>43.5</v>
      </c>
      <c r="L5">
        <f t="shared" ref="L5:L24" si="7">I5-K5</f>
        <v>2.5</v>
      </c>
      <c r="M5">
        <f t="shared" ref="M5:M25" si="8">(ABS(L5)/I5)*100</f>
        <v>5.4347826086956523</v>
      </c>
      <c r="O5">
        <v>4</v>
      </c>
      <c r="P5">
        <f t="shared" si="0"/>
        <v>46</v>
      </c>
      <c r="Q5">
        <f t="shared" ref="Q5:Q25" si="9">AVERAGE(P3:P5)</f>
        <v>44.333333333333336</v>
      </c>
      <c r="R5">
        <f>Q4</f>
        <v>49.333333333333336</v>
      </c>
      <c r="S5">
        <f>P5-R5</f>
        <v>-3.3333333333333357</v>
      </c>
      <c r="T5">
        <f>(ABS(S5)/P5)*100</f>
        <v>7.2463768115942084</v>
      </c>
      <c r="V5">
        <v>4</v>
      </c>
      <c r="W5">
        <f t="shared" si="1"/>
        <v>46</v>
      </c>
      <c r="X5">
        <f>AVERAGE(W2:W5)</f>
        <v>48.5</v>
      </c>
      <c r="AC5" s="2">
        <v>4</v>
      </c>
      <c r="AD5" s="2">
        <f t="shared" si="3"/>
        <v>46</v>
      </c>
      <c r="AE5" s="2"/>
      <c r="AF5" s="2"/>
      <c r="AG5" s="2"/>
      <c r="AH5" s="2"/>
      <c r="AJ5">
        <v>4</v>
      </c>
      <c r="AK5">
        <f t="shared" si="4"/>
        <v>46</v>
      </c>
    </row>
    <row r="6" spans="1:41" x14ac:dyDescent="0.35">
      <c r="A6">
        <v>5</v>
      </c>
      <c r="B6">
        <v>20</v>
      </c>
      <c r="D6">
        <v>5</v>
      </c>
      <c r="E6">
        <v>88.1</v>
      </c>
      <c r="H6">
        <v>5</v>
      </c>
      <c r="I6">
        <f t="shared" si="2"/>
        <v>56</v>
      </c>
      <c r="J6">
        <f t="shared" si="5"/>
        <v>51</v>
      </c>
      <c r="K6">
        <f t="shared" si="6"/>
        <v>48.5</v>
      </c>
      <c r="L6">
        <f t="shared" si="7"/>
        <v>7.5</v>
      </c>
      <c r="M6">
        <f t="shared" si="8"/>
        <v>13.392857142857142</v>
      </c>
      <c r="O6">
        <v>5</v>
      </c>
      <c r="P6">
        <f t="shared" si="0"/>
        <v>56</v>
      </c>
      <c r="Q6">
        <f t="shared" si="9"/>
        <v>51</v>
      </c>
      <c r="R6">
        <f t="shared" ref="R6:R25" si="10">Q5</f>
        <v>44.333333333333336</v>
      </c>
      <c r="S6">
        <f>P6-R6</f>
        <v>11.666666666666664</v>
      </c>
      <c r="T6">
        <f t="shared" ref="T6:T25" si="11">(ABS(S6)/P6)*100</f>
        <v>20.833333333333329</v>
      </c>
      <c r="V6">
        <v>5</v>
      </c>
      <c r="W6">
        <f t="shared" si="1"/>
        <v>56</v>
      </c>
      <c r="X6">
        <f t="shared" ref="X6:X25" si="12">AVERAGE(W3:W6)</f>
        <v>47.25</v>
      </c>
      <c r="Y6">
        <f>X5</f>
        <v>48.5</v>
      </c>
      <c r="Z6">
        <f>W6-Y6</f>
        <v>7.5</v>
      </c>
      <c r="AA6">
        <f>(ABS(Z6)/W6)*100</f>
        <v>13.392857142857142</v>
      </c>
      <c r="AC6" s="2">
        <v>5</v>
      </c>
      <c r="AD6" s="2">
        <f t="shared" si="3"/>
        <v>56</v>
      </c>
      <c r="AE6" s="2">
        <f>AVERAGE(AD2:AD6)</f>
        <v>50</v>
      </c>
      <c r="AF6" s="2"/>
      <c r="AG6" s="2"/>
      <c r="AH6" s="2"/>
      <c r="AJ6">
        <v>5</v>
      </c>
      <c r="AK6">
        <f t="shared" si="4"/>
        <v>56</v>
      </c>
    </row>
    <row r="7" spans="1:41" x14ac:dyDescent="0.35">
      <c r="A7">
        <v>6</v>
      </c>
      <c r="B7">
        <v>10</v>
      </c>
      <c r="D7">
        <v>6</v>
      </c>
      <c r="E7">
        <v>83.9</v>
      </c>
      <c r="H7">
        <v>6</v>
      </c>
      <c r="I7">
        <f t="shared" si="2"/>
        <v>46</v>
      </c>
      <c r="J7">
        <f t="shared" si="5"/>
        <v>51</v>
      </c>
      <c r="K7">
        <f t="shared" si="6"/>
        <v>51</v>
      </c>
      <c r="L7">
        <f t="shared" si="7"/>
        <v>-5</v>
      </c>
      <c r="M7">
        <f t="shared" si="8"/>
        <v>10.869565217391305</v>
      </c>
      <c r="O7">
        <v>6</v>
      </c>
      <c r="P7">
        <f t="shared" si="0"/>
        <v>46</v>
      </c>
      <c r="Q7">
        <f t="shared" si="9"/>
        <v>49.333333333333336</v>
      </c>
      <c r="R7">
        <f t="shared" si="10"/>
        <v>51</v>
      </c>
      <c r="S7">
        <f t="shared" ref="S7:S25" si="13">P7-R7</f>
        <v>-5</v>
      </c>
      <c r="T7">
        <f t="shared" si="11"/>
        <v>10.869565217391305</v>
      </c>
      <c r="V7">
        <v>6</v>
      </c>
      <c r="W7">
        <f t="shared" si="1"/>
        <v>46</v>
      </c>
      <c r="X7">
        <f t="shared" si="12"/>
        <v>49.75</v>
      </c>
      <c r="Y7">
        <f t="shared" ref="Y7:Y25" si="14">X6</f>
        <v>47.25</v>
      </c>
      <c r="Z7">
        <f t="shared" ref="Z7:Z25" si="15">W7-Y7</f>
        <v>-1.25</v>
      </c>
      <c r="AA7">
        <f t="shared" ref="AA7:AA25" si="16">(ABS(Z7)/W7)*100</f>
        <v>2.7173913043478262</v>
      </c>
      <c r="AC7" s="2">
        <v>6</v>
      </c>
      <c r="AD7" s="2">
        <f t="shared" si="3"/>
        <v>46</v>
      </c>
      <c r="AE7" s="2">
        <f>AVERAGE(AD3:AD7)</f>
        <v>47</v>
      </c>
      <c r="AF7" s="2">
        <f>AE6</f>
        <v>50</v>
      </c>
      <c r="AG7" s="2">
        <f>AD7-AF7</f>
        <v>-4</v>
      </c>
      <c r="AH7" s="2">
        <f>(ABS(AG7)/AD7)*100</f>
        <v>8.695652173913043</v>
      </c>
      <c r="AJ7">
        <v>6</v>
      </c>
      <c r="AK7">
        <f t="shared" si="4"/>
        <v>46</v>
      </c>
      <c r="AL7">
        <f>AVERAGE(AK2:AK7)</f>
        <v>49.333333333333336</v>
      </c>
    </row>
    <row r="8" spans="1:41" x14ac:dyDescent="0.35">
      <c r="A8">
        <v>7</v>
      </c>
      <c r="B8">
        <v>5</v>
      </c>
      <c r="D8">
        <v>7</v>
      </c>
      <c r="E8">
        <v>79.900000000000006</v>
      </c>
      <c r="H8">
        <v>7</v>
      </c>
      <c r="I8">
        <f t="shared" si="2"/>
        <v>41</v>
      </c>
      <c r="J8">
        <f t="shared" si="5"/>
        <v>43.5</v>
      </c>
      <c r="K8">
        <f t="shared" si="6"/>
        <v>51</v>
      </c>
      <c r="L8">
        <f t="shared" si="7"/>
        <v>-10</v>
      </c>
      <c r="M8">
        <f t="shared" si="8"/>
        <v>24.390243902439025</v>
      </c>
      <c r="O8">
        <v>7</v>
      </c>
      <c r="P8">
        <f t="shared" si="0"/>
        <v>41</v>
      </c>
      <c r="Q8">
        <f t="shared" si="9"/>
        <v>47.666666666666664</v>
      </c>
      <c r="R8">
        <f t="shared" si="10"/>
        <v>49.333333333333336</v>
      </c>
      <c r="S8">
        <f t="shared" si="13"/>
        <v>-8.3333333333333357</v>
      </c>
      <c r="T8">
        <f t="shared" si="11"/>
        <v>20.325203252032527</v>
      </c>
      <c r="V8">
        <v>7</v>
      </c>
      <c r="W8">
        <f t="shared" si="1"/>
        <v>41</v>
      </c>
      <c r="X8">
        <f t="shared" si="12"/>
        <v>47.25</v>
      </c>
      <c r="Y8">
        <f t="shared" si="14"/>
        <v>49.75</v>
      </c>
      <c r="Z8">
        <f t="shared" si="15"/>
        <v>-8.75</v>
      </c>
      <c r="AA8">
        <f t="shared" si="16"/>
        <v>21.341463414634145</v>
      </c>
      <c r="AC8" s="2">
        <v>7</v>
      </c>
      <c r="AD8" s="2">
        <f t="shared" si="3"/>
        <v>41</v>
      </c>
      <c r="AE8" s="2">
        <f t="shared" ref="AE8:AE25" si="17">AVERAGE(AD4:AD8)</f>
        <v>48</v>
      </c>
      <c r="AF8" s="2">
        <f t="shared" ref="AF8:AF25" si="18">AE7</f>
        <v>47</v>
      </c>
      <c r="AG8" s="2">
        <f t="shared" ref="AG8:AG25" si="19">AD8-AF8</f>
        <v>-6</v>
      </c>
      <c r="AH8" s="2">
        <f t="shared" ref="AH8:AH25" si="20">(ABS(AG8)/AD8)*100</f>
        <v>14.634146341463413</v>
      </c>
      <c r="AJ8">
        <v>7</v>
      </c>
      <c r="AK8">
        <f t="shared" si="4"/>
        <v>41</v>
      </c>
      <c r="AL8">
        <f t="shared" ref="AL8:AL25" si="21">AVERAGE(AK3:AK8)</f>
        <v>46</v>
      </c>
      <c r="AM8">
        <f t="shared" ref="AM8:AM25" si="22">AL7</f>
        <v>49.333333333333336</v>
      </c>
      <c r="AN8">
        <f t="shared" ref="AN8:AN25" si="23">AK8-AM8</f>
        <v>-8.3333333333333357</v>
      </c>
      <c r="AO8">
        <f t="shared" ref="AO8:AO25" si="24">(ABS(AN8)/AK8)*100</f>
        <v>20.325203252032527</v>
      </c>
    </row>
    <row r="9" spans="1:41" x14ac:dyDescent="0.35">
      <c r="A9">
        <v>8</v>
      </c>
      <c r="B9">
        <v>5</v>
      </c>
      <c r="D9">
        <v>8</v>
      </c>
      <c r="E9">
        <v>81.099999999999994</v>
      </c>
      <c r="H9">
        <v>8</v>
      </c>
      <c r="I9">
        <f t="shared" si="2"/>
        <v>41</v>
      </c>
      <c r="J9">
        <f t="shared" si="5"/>
        <v>41</v>
      </c>
      <c r="K9">
        <f t="shared" si="6"/>
        <v>43.5</v>
      </c>
      <c r="L9">
        <f t="shared" si="7"/>
        <v>-2.5</v>
      </c>
      <c r="M9">
        <f t="shared" si="8"/>
        <v>6.0975609756097562</v>
      </c>
      <c r="O9">
        <v>8</v>
      </c>
      <c r="P9">
        <f t="shared" si="0"/>
        <v>41</v>
      </c>
      <c r="Q9">
        <f t="shared" si="9"/>
        <v>42.666666666666664</v>
      </c>
      <c r="R9">
        <f t="shared" si="10"/>
        <v>47.666666666666664</v>
      </c>
      <c r="S9">
        <f t="shared" si="13"/>
        <v>-6.6666666666666643</v>
      </c>
      <c r="T9">
        <f t="shared" si="11"/>
        <v>16.260162601626011</v>
      </c>
      <c r="V9">
        <v>8</v>
      </c>
      <c r="W9">
        <f t="shared" si="1"/>
        <v>41</v>
      </c>
      <c r="X9">
        <f t="shared" si="12"/>
        <v>46</v>
      </c>
      <c r="Y9">
        <f t="shared" si="14"/>
        <v>47.25</v>
      </c>
      <c r="Z9">
        <f t="shared" si="15"/>
        <v>-6.25</v>
      </c>
      <c r="AA9">
        <f t="shared" si="16"/>
        <v>15.24390243902439</v>
      </c>
      <c r="AC9" s="2">
        <v>8</v>
      </c>
      <c r="AD9" s="2">
        <f t="shared" si="3"/>
        <v>41</v>
      </c>
      <c r="AE9" s="2">
        <f t="shared" si="17"/>
        <v>46</v>
      </c>
      <c r="AF9" s="2">
        <f t="shared" si="18"/>
        <v>48</v>
      </c>
      <c r="AG9" s="2">
        <f t="shared" si="19"/>
        <v>-7</v>
      </c>
      <c r="AH9" s="2">
        <f t="shared" si="20"/>
        <v>17.073170731707318</v>
      </c>
      <c r="AJ9">
        <v>8</v>
      </c>
      <c r="AK9">
        <f t="shared" si="4"/>
        <v>41</v>
      </c>
      <c r="AL9">
        <f t="shared" si="21"/>
        <v>46.833333333333336</v>
      </c>
      <c r="AM9">
        <f t="shared" si="22"/>
        <v>46</v>
      </c>
      <c r="AN9">
        <f t="shared" si="23"/>
        <v>-5</v>
      </c>
      <c r="AO9">
        <f t="shared" si="24"/>
        <v>12.195121951219512</v>
      </c>
    </row>
    <row r="10" spans="1:41" x14ac:dyDescent="0.35">
      <c r="A10">
        <v>9</v>
      </c>
      <c r="B10">
        <v>15</v>
      </c>
      <c r="D10">
        <v>9</v>
      </c>
      <c r="E10">
        <v>86.4</v>
      </c>
      <c r="H10">
        <v>9</v>
      </c>
      <c r="I10">
        <f t="shared" si="2"/>
        <v>51</v>
      </c>
      <c r="J10">
        <f t="shared" si="5"/>
        <v>46</v>
      </c>
      <c r="K10">
        <f t="shared" si="6"/>
        <v>41</v>
      </c>
      <c r="L10">
        <f t="shared" si="7"/>
        <v>10</v>
      </c>
      <c r="M10">
        <f t="shared" si="8"/>
        <v>19.607843137254903</v>
      </c>
      <c r="O10">
        <v>9</v>
      </c>
      <c r="P10">
        <f t="shared" si="0"/>
        <v>51</v>
      </c>
      <c r="Q10">
        <f t="shared" si="9"/>
        <v>44.333333333333336</v>
      </c>
      <c r="R10">
        <f t="shared" si="10"/>
        <v>42.666666666666664</v>
      </c>
      <c r="S10">
        <f t="shared" si="13"/>
        <v>8.3333333333333357</v>
      </c>
      <c r="T10">
        <f t="shared" si="11"/>
        <v>16.339869281045758</v>
      </c>
      <c r="V10">
        <v>9</v>
      </c>
      <c r="W10">
        <f t="shared" si="1"/>
        <v>51</v>
      </c>
      <c r="X10">
        <f t="shared" si="12"/>
        <v>44.75</v>
      </c>
      <c r="Y10">
        <f t="shared" si="14"/>
        <v>46</v>
      </c>
      <c r="Z10">
        <f t="shared" si="15"/>
        <v>5</v>
      </c>
      <c r="AA10">
        <f t="shared" si="16"/>
        <v>9.8039215686274517</v>
      </c>
      <c r="AC10" s="2">
        <v>9</v>
      </c>
      <c r="AD10" s="2">
        <f t="shared" si="3"/>
        <v>51</v>
      </c>
      <c r="AE10" s="2">
        <f t="shared" si="17"/>
        <v>47</v>
      </c>
      <c r="AF10" s="2">
        <f t="shared" si="18"/>
        <v>46</v>
      </c>
      <c r="AG10" s="2">
        <f t="shared" si="19"/>
        <v>5</v>
      </c>
      <c r="AH10" s="2">
        <f t="shared" si="20"/>
        <v>9.8039215686274517</v>
      </c>
      <c r="AJ10">
        <v>9</v>
      </c>
      <c r="AK10">
        <f t="shared" si="4"/>
        <v>51</v>
      </c>
      <c r="AL10">
        <f t="shared" si="21"/>
        <v>46.833333333333336</v>
      </c>
      <c r="AM10">
        <f t="shared" si="22"/>
        <v>46.833333333333336</v>
      </c>
      <c r="AN10">
        <f t="shared" si="23"/>
        <v>4.1666666666666643</v>
      </c>
      <c r="AO10">
        <f t="shared" si="24"/>
        <v>8.1699346405228717</v>
      </c>
    </row>
    <row r="11" spans="1:41" x14ac:dyDescent="0.35">
      <c r="A11">
        <v>10</v>
      </c>
      <c r="B11">
        <v>15</v>
      </c>
      <c r="D11">
        <v>10</v>
      </c>
      <c r="E11">
        <v>86.3</v>
      </c>
      <c r="H11">
        <v>10</v>
      </c>
      <c r="I11">
        <f t="shared" si="2"/>
        <v>51</v>
      </c>
      <c r="J11">
        <f t="shared" si="5"/>
        <v>51</v>
      </c>
      <c r="K11">
        <f t="shared" si="6"/>
        <v>46</v>
      </c>
      <c r="L11">
        <f t="shared" si="7"/>
        <v>5</v>
      </c>
      <c r="M11">
        <f t="shared" si="8"/>
        <v>9.8039215686274517</v>
      </c>
      <c r="O11">
        <v>10</v>
      </c>
      <c r="P11">
        <f t="shared" si="0"/>
        <v>51</v>
      </c>
      <c r="Q11">
        <f t="shared" si="9"/>
        <v>47.666666666666664</v>
      </c>
      <c r="R11">
        <f t="shared" si="10"/>
        <v>44.333333333333336</v>
      </c>
      <c r="S11">
        <f t="shared" si="13"/>
        <v>6.6666666666666643</v>
      </c>
      <c r="T11">
        <f t="shared" si="11"/>
        <v>13.071895424836596</v>
      </c>
      <c r="V11">
        <v>10</v>
      </c>
      <c r="W11">
        <f t="shared" si="1"/>
        <v>51</v>
      </c>
      <c r="X11">
        <f t="shared" si="12"/>
        <v>46</v>
      </c>
      <c r="Y11">
        <f t="shared" si="14"/>
        <v>44.75</v>
      </c>
      <c r="Z11">
        <f t="shared" si="15"/>
        <v>6.25</v>
      </c>
      <c r="AA11">
        <f t="shared" si="16"/>
        <v>12.254901960784313</v>
      </c>
      <c r="AC11" s="2">
        <v>10</v>
      </c>
      <c r="AD11" s="2">
        <f t="shared" si="3"/>
        <v>51</v>
      </c>
      <c r="AE11" s="2">
        <f t="shared" si="17"/>
        <v>46</v>
      </c>
      <c r="AF11" s="2">
        <f t="shared" si="18"/>
        <v>47</v>
      </c>
      <c r="AG11" s="2">
        <f t="shared" si="19"/>
        <v>4</v>
      </c>
      <c r="AH11" s="2">
        <f t="shared" si="20"/>
        <v>7.8431372549019605</v>
      </c>
      <c r="AJ11">
        <v>10</v>
      </c>
      <c r="AK11">
        <f t="shared" si="4"/>
        <v>51</v>
      </c>
      <c r="AL11">
        <f t="shared" si="21"/>
        <v>47.666666666666664</v>
      </c>
      <c r="AM11">
        <f t="shared" si="22"/>
        <v>46.833333333333336</v>
      </c>
      <c r="AN11">
        <f t="shared" si="23"/>
        <v>4.1666666666666643</v>
      </c>
      <c r="AO11">
        <f t="shared" si="24"/>
        <v>8.1699346405228717</v>
      </c>
    </row>
    <row r="12" spans="1:41" x14ac:dyDescent="0.35">
      <c r="A12">
        <v>11</v>
      </c>
      <c r="B12">
        <v>5</v>
      </c>
      <c r="D12">
        <v>11</v>
      </c>
      <c r="E12">
        <v>81.900000000000006</v>
      </c>
      <c r="H12">
        <v>11</v>
      </c>
      <c r="I12">
        <f t="shared" si="2"/>
        <v>41</v>
      </c>
      <c r="J12">
        <f t="shared" si="5"/>
        <v>46</v>
      </c>
      <c r="K12">
        <f t="shared" si="6"/>
        <v>51</v>
      </c>
      <c r="L12">
        <f t="shared" si="7"/>
        <v>-10</v>
      </c>
      <c r="M12">
        <f t="shared" si="8"/>
        <v>24.390243902439025</v>
      </c>
      <c r="O12">
        <v>11</v>
      </c>
      <c r="P12">
        <f t="shared" si="0"/>
        <v>41</v>
      </c>
      <c r="Q12">
        <f t="shared" si="9"/>
        <v>47.666666666666664</v>
      </c>
      <c r="R12">
        <f t="shared" si="10"/>
        <v>47.666666666666664</v>
      </c>
      <c r="S12">
        <f t="shared" si="13"/>
        <v>-6.6666666666666643</v>
      </c>
      <c r="T12">
        <f t="shared" si="11"/>
        <v>16.260162601626011</v>
      </c>
      <c r="V12">
        <v>11</v>
      </c>
      <c r="W12">
        <f t="shared" si="1"/>
        <v>41</v>
      </c>
      <c r="X12">
        <f t="shared" si="12"/>
        <v>46</v>
      </c>
      <c r="Y12">
        <f t="shared" si="14"/>
        <v>46</v>
      </c>
      <c r="Z12">
        <f t="shared" si="15"/>
        <v>-5</v>
      </c>
      <c r="AA12">
        <f t="shared" si="16"/>
        <v>12.195121951219512</v>
      </c>
      <c r="AC12" s="2">
        <v>11</v>
      </c>
      <c r="AD12" s="2">
        <f t="shared" si="3"/>
        <v>41</v>
      </c>
      <c r="AE12" s="2">
        <f t="shared" si="17"/>
        <v>45</v>
      </c>
      <c r="AF12" s="2">
        <f t="shared" si="18"/>
        <v>46</v>
      </c>
      <c r="AG12" s="2">
        <f t="shared" si="19"/>
        <v>-5</v>
      </c>
      <c r="AH12" s="2">
        <f t="shared" si="20"/>
        <v>12.195121951219512</v>
      </c>
      <c r="AJ12">
        <v>11</v>
      </c>
      <c r="AK12">
        <f t="shared" si="4"/>
        <v>41</v>
      </c>
      <c r="AL12">
        <f t="shared" si="21"/>
        <v>45.166666666666664</v>
      </c>
      <c r="AM12">
        <f t="shared" si="22"/>
        <v>47.666666666666664</v>
      </c>
      <c r="AN12">
        <f t="shared" si="23"/>
        <v>-6.6666666666666643</v>
      </c>
      <c r="AO12">
        <f t="shared" si="24"/>
        <v>16.260162601626011</v>
      </c>
    </row>
    <row r="13" spans="1:41" x14ac:dyDescent="0.35">
      <c r="A13">
        <v>12</v>
      </c>
      <c r="B13">
        <v>20</v>
      </c>
      <c r="D13">
        <v>12</v>
      </c>
      <c r="E13">
        <v>90.6</v>
      </c>
      <c r="H13">
        <v>12</v>
      </c>
      <c r="I13">
        <f t="shared" si="2"/>
        <v>56</v>
      </c>
      <c r="J13">
        <f t="shared" si="5"/>
        <v>48.5</v>
      </c>
      <c r="K13">
        <f t="shared" si="6"/>
        <v>46</v>
      </c>
      <c r="L13">
        <f t="shared" si="7"/>
        <v>10</v>
      </c>
      <c r="M13">
        <f t="shared" si="8"/>
        <v>17.857142857142858</v>
      </c>
      <c r="O13">
        <v>12</v>
      </c>
      <c r="P13">
        <f t="shared" si="0"/>
        <v>56</v>
      </c>
      <c r="Q13">
        <f t="shared" si="9"/>
        <v>49.333333333333336</v>
      </c>
      <c r="R13">
        <f t="shared" si="10"/>
        <v>47.666666666666664</v>
      </c>
      <c r="S13">
        <f t="shared" si="13"/>
        <v>8.3333333333333357</v>
      </c>
      <c r="T13">
        <f t="shared" si="11"/>
        <v>14.880952380952387</v>
      </c>
      <c r="V13">
        <v>12</v>
      </c>
      <c r="W13">
        <f t="shared" si="1"/>
        <v>56</v>
      </c>
      <c r="X13">
        <f t="shared" si="12"/>
        <v>49.75</v>
      </c>
      <c r="Y13">
        <f t="shared" si="14"/>
        <v>46</v>
      </c>
      <c r="Z13">
        <f t="shared" si="15"/>
        <v>10</v>
      </c>
      <c r="AA13">
        <f t="shared" si="16"/>
        <v>17.857142857142858</v>
      </c>
      <c r="AC13" s="2">
        <v>12</v>
      </c>
      <c r="AD13" s="2">
        <f t="shared" si="3"/>
        <v>56</v>
      </c>
      <c r="AE13" s="2">
        <f t="shared" si="17"/>
        <v>48</v>
      </c>
      <c r="AF13" s="2">
        <f t="shared" si="18"/>
        <v>45</v>
      </c>
      <c r="AG13" s="2">
        <f t="shared" si="19"/>
        <v>11</v>
      </c>
      <c r="AH13" s="2">
        <f t="shared" si="20"/>
        <v>19.642857142857142</v>
      </c>
      <c r="AJ13">
        <v>12</v>
      </c>
      <c r="AK13">
        <f t="shared" si="4"/>
        <v>56</v>
      </c>
      <c r="AL13">
        <f t="shared" si="21"/>
        <v>46.833333333333336</v>
      </c>
      <c r="AM13">
        <f t="shared" si="22"/>
        <v>45.166666666666664</v>
      </c>
      <c r="AN13">
        <f t="shared" si="23"/>
        <v>10.833333333333336</v>
      </c>
      <c r="AO13">
        <f t="shared" si="24"/>
        <v>19.345238095238098</v>
      </c>
    </row>
    <row r="14" spans="1:41" x14ac:dyDescent="0.35">
      <c r="A14">
        <v>13</v>
      </c>
      <c r="B14">
        <v>15</v>
      </c>
      <c r="D14">
        <v>13</v>
      </c>
      <c r="E14">
        <v>91.4</v>
      </c>
      <c r="H14">
        <v>13</v>
      </c>
      <c r="I14">
        <f t="shared" si="2"/>
        <v>51</v>
      </c>
      <c r="J14">
        <f t="shared" si="5"/>
        <v>53.5</v>
      </c>
      <c r="K14">
        <f t="shared" si="6"/>
        <v>48.5</v>
      </c>
      <c r="L14">
        <f t="shared" si="7"/>
        <v>2.5</v>
      </c>
      <c r="M14">
        <f t="shared" si="8"/>
        <v>4.9019607843137258</v>
      </c>
      <c r="O14">
        <v>13</v>
      </c>
      <c r="P14">
        <f t="shared" si="0"/>
        <v>51</v>
      </c>
      <c r="Q14">
        <f t="shared" si="9"/>
        <v>49.333333333333336</v>
      </c>
      <c r="R14">
        <f t="shared" si="10"/>
        <v>49.333333333333336</v>
      </c>
      <c r="S14">
        <f t="shared" si="13"/>
        <v>1.6666666666666643</v>
      </c>
      <c r="T14">
        <f t="shared" si="11"/>
        <v>3.2679738562091458</v>
      </c>
      <c r="V14">
        <v>13</v>
      </c>
      <c r="W14">
        <f t="shared" si="1"/>
        <v>51</v>
      </c>
      <c r="X14">
        <f t="shared" si="12"/>
        <v>49.75</v>
      </c>
      <c r="Y14">
        <f t="shared" si="14"/>
        <v>49.75</v>
      </c>
      <c r="Z14">
        <f t="shared" si="15"/>
        <v>1.25</v>
      </c>
      <c r="AA14">
        <f t="shared" si="16"/>
        <v>2.4509803921568629</v>
      </c>
      <c r="AC14" s="2">
        <v>13</v>
      </c>
      <c r="AD14" s="2">
        <f t="shared" si="3"/>
        <v>51</v>
      </c>
      <c r="AE14" s="2">
        <f t="shared" si="17"/>
        <v>50</v>
      </c>
      <c r="AF14" s="2">
        <f t="shared" si="18"/>
        <v>48</v>
      </c>
      <c r="AG14" s="2">
        <f t="shared" si="19"/>
        <v>3</v>
      </c>
      <c r="AH14" s="2">
        <f t="shared" si="20"/>
        <v>5.8823529411764701</v>
      </c>
      <c r="AJ14">
        <v>13</v>
      </c>
      <c r="AK14">
        <f t="shared" si="4"/>
        <v>51</v>
      </c>
      <c r="AL14">
        <f t="shared" si="21"/>
        <v>48.5</v>
      </c>
      <c r="AM14">
        <f t="shared" si="22"/>
        <v>46.833333333333336</v>
      </c>
      <c r="AN14">
        <f t="shared" si="23"/>
        <v>4.1666666666666643</v>
      </c>
      <c r="AO14">
        <f t="shared" si="24"/>
        <v>8.1699346405228717</v>
      </c>
    </row>
    <row r="15" spans="1:41" x14ac:dyDescent="0.35">
      <c r="A15">
        <v>14</v>
      </c>
      <c r="B15">
        <v>5</v>
      </c>
      <c r="D15">
        <v>14</v>
      </c>
      <c r="E15">
        <v>88.5</v>
      </c>
      <c r="H15">
        <v>14</v>
      </c>
      <c r="I15">
        <f t="shared" si="2"/>
        <v>41</v>
      </c>
      <c r="J15">
        <f t="shared" si="5"/>
        <v>46</v>
      </c>
      <c r="K15">
        <f t="shared" si="6"/>
        <v>53.5</v>
      </c>
      <c r="L15">
        <f t="shared" si="7"/>
        <v>-12.5</v>
      </c>
      <c r="M15">
        <f t="shared" si="8"/>
        <v>30.487804878048781</v>
      </c>
      <c r="O15">
        <v>14</v>
      </c>
      <c r="P15">
        <f t="shared" si="0"/>
        <v>41</v>
      </c>
      <c r="Q15">
        <f t="shared" si="9"/>
        <v>49.333333333333336</v>
      </c>
      <c r="R15">
        <f t="shared" si="10"/>
        <v>49.333333333333336</v>
      </c>
      <c r="S15">
        <f t="shared" si="13"/>
        <v>-8.3333333333333357</v>
      </c>
      <c r="T15">
        <f t="shared" si="11"/>
        <v>20.325203252032527</v>
      </c>
      <c r="V15">
        <v>14</v>
      </c>
      <c r="W15">
        <f t="shared" si="1"/>
        <v>41</v>
      </c>
      <c r="X15">
        <f t="shared" si="12"/>
        <v>47.25</v>
      </c>
      <c r="Y15">
        <f t="shared" si="14"/>
        <v>49.75</v>
      </c>
      <c r="Z15">
        <f t="shared" si="15"/>
        <v>-8.75</v>
      </c>
      <c r="AA15">
        <f t="shared" si="16"/>
        <v>21.341463414634145</v>
      </c>
      <c r="AC15" s="2">
        <v>14</v>
      </c>
      <c r="AD15" s="2">
        <f t="shared" si="3"/>
        <v>41</v>
      </c>
      <c r="AE15" s="2">
        <f t="shared" si="17"/>
        <v>48</v>
      </c>
      <c r="AF15" s="2">
        <f t="shared" si="18"/>
        <v>50</v>
      </c>
      <c r="AG15" s="2">
        <f t="shared" si="19"/>
        <v>-9</v>
      </c>
      <c r="AH15" s="2">
        <f t="shared" si="20"/>
        <v>21.951219512195124</v>
      </c>
      <c r="AJ15">
        <v>14</v>
      </c>
      <c r="AK15">
        <f t="shared" si="4"/>
        <v>41</v>
      </c>
      <c r="AL15">
        <f t="shared" si="21"/>
        <v>48.5</v>
      </c>
      <c r="AM15">
        <f t="shared" si="22"/>
        <v>48.5</v>
      </c>
      <c r="AN15">
        <f t="shared" si="23"/>
        <v>-7.5</v>
      </c>
      <c r="AO15">
        <f t="shared" si="24"/>
        <v>18.292682926829269</v>
      </c>
    </row>
    <row r="16" spans="1:41" x14ac:dyDescent="0.35">
      <c r="A16">
        <v>15</v>
      </c>
      <c r="B16">
        <v>10</v>
      </c>
      <c r="D16">
        <v>15</v>
      </c>
      <c r="E16">
        <v>93.5</v>
      </c>
      <c r="H16">
        <v>15</v>
      </c>
      <c r="I16">
        <f t="shared" si="2"/>
        <v>46</v>
      </c>
      <c r="J16">
        <f t="shared" si="5"/>
        <v>43.5</v>
      </c>
      <c r="K16">
        <f t="shared" si="6"/>
        <v>46</v>
      </c>
      <c r="L16">
        <f t="shared" si="7"/>
        <v>0</v>
      </c>
      <c r="M16">
        <f t="shared" si="8"/>
        <v>0</v>
      </c>
      <c r="O16">
        <v>15</v>
      </c>
      <c r="P16">
        <f t="shared" si="0"/>
        <v>46</v>
      </c>
      <c r="Q16">
        <f t="shared" si="9"/>
        <v>46</v>
      </c>
      <c r="R16">
        <f t="shared" si="10"/>
        <v>49.333333333333336</v>
      </c>
      <c r="S16">
        <f t="shared" si="13"/>
        <v>-3.3333333333333357</v>
      </c>
      <c r="T16">
        <f t="shared" si="11"/>
        <v>7.2463768115942084</v>
      </c>
      <c r="V16">
        <v>15</v>
      </c>
      <c r="W16">
        <f t="shared" si="1"/>
        <v>46</v>
      </c>
      <c r="X16">
        <f t="shared" si="12"/>
        <v>48.5</v>
      </c>
      <c r="Y16">
        <f t="shared" si="14"/>
        <v>47.25</v>
      </c>
      <c r="Z16">
        <f t="shared" si="15"/>
        <v>-1.25</v>
      </c>
      <c r="AA16">
        <f t="shared" si="16"/>
        <v>2.7173913043478262</v>
      </c>
      <c r="AC16" s="2">
        <v>15</v>
      </c>
      <c r="AD16" s="2">
        <f t="shared" si="3"/>
        <v>46</v>
      </c>
      <c r="AE16" s="2">
        <f t="shared" si="17"/>
        <v>47</v>
      </c>
      <c r="AF16" s="2">
        <f t="shared" si="18"/>
        <v>48</v>
      </c>
      <c r="AG16" s="2">
        <f t="shared" si="19"/>
        <v>-2</v>
      </c>
      <c r="AH16" s="2">
        <f t="shared" si="20"/>
        <v>4.3478260869565215</v>
      </c>
      <c r="AJ16">
        <v>15</v>
      </c>
      <c r="AK16">
        <f t="shared" si="4"/>
        <v>46</v>
      </c>
      <c r="AL16">
        <f t="shared" si="21"/>
        <v>47.666666666666664</v>
      </c>
      <c r="AM16">
        <f t="shared" si="22"/>
        <v>48.5</v>
      </c>
      <c r="AN16">
        <f t="shared" si="23"/>
        <v>-2.5</v>
      </c>
      <c r="AO16">
        <f t="shared" si="24"/>
        <v>5.4347826086956523</v>
      </c>
    </row>
    <row r="17" spans="1:41" x14ac:dyDescent="0.35">
      <c r="A17">
        <v>16</v>
      </c>
      <c r="B17">
        <v>25</v>
      </c>
      <c r="D17">
        <v>16</v>
      </c>
      <c r="E17">
        <v>105</v>
      </c>
      <c r="H17">
        <v>16</v>
      </c>
      <c r="I17">
        <f t="shared" si="2"/>
        <v>61</v>
      </c>
      <c r="J17">
        <f t="shared" si="5"/>
        <v>53.5</v>
      </c>
      <c r="K17">
        <f t="shared" si="6"/>
        <v>43.5</v>
      </c>
      <c r="L17">
        <f t="shared" si="7"/>
        <v>17.5</v>
      </c>
      <c r="M17">
        <f t="shared" si="8"/>
        <v>28.688524590163933</v>
      </c>
      <c r="O17">
        <v>16</v>
      </c>
      <c r="P17">
        <f t="shared" si="0"/>
        <v>61</v>
      </c>
      <c r="Q17">
        <f t="shared" si="9"/>
        <v>49.333333333333336</v>
      </c>
      <c r="R17">
        <f t="shared" si="10"/>
        <v>46</v>
      </c>
      <c r="S17">
        <f t="shared" si="13"/>
        <v>15</v>
      </c>
      <c r="T17">
        <f t="shared" si="11"/>
        <v>24.590163934426229</v>
      </c>
      <c r="V17">
        <v>16</v>
      </c>
      <c r="W17">
        <f t="shared" si="1"/>
        <v>61</v>
      </c>
      <c r="X17">
        <f t="shared" si="12"/>
        <v>49.75</v>
      </c>
      <c r="Y17">
        <f t="shared" si="14"/>
        <v>48.5</v>
      </c>
      <c r="Z17">
        <f t="shared" si="15"/>
        <v>12.5</v>
      </c>
      <c r="AA17">
        <f t="shared" si="16"/>
        <v>20.491803278688526</v>
      </c>
      <c r="AC17" s="2">
        <v>16</v>
      </c>
      <c r="AD17" s="2">
        <f t="shared" si="3"/>
        <v>61</v>
      </c>
      <c r="AE17" s="2">
        <f t="shared" si="17"/>
        <v>51</v>
      </c>
      <c r="AF17" s="2">
        <f t="shared" si="18"/>
        <v>47</v>
      </c>
      <c r="AG17" s="2">
        <f t="shared" si="19"/>
        <v>14</v>
      </c>
      <c r="AH17" s="2">
        <f t="shared" si="20"/>
        <v>22.950819672131146</v>
      </c>
      <c r="AJ17">
        <v>16</v>
      </c>
      <c r="AK17">
        <f t="shared" si="4"/>
        <v>61</v>
      </c>
      <c r="AL17">
        <f t="shared" si="21"/>
        <v>49.333333333333336</v>
      </c>
      <c r="AM17">
        <f t="shared" si="22"/>
        <v>47.666666666666664</v>
      </c>
      <c r="AN17">
        <f t="shared" si="23"/>
        <v>13.333333333333336</v>
      </c>
      <c r="AO17">
        <f t="shared" si="24"/>
        <v>21.857923497267766</v>
      </c>
    </row>
    <row r="18" spans="1:41" x14ac:dyDescent="0.35">
      <c r="A18">
        <v>17</v>
      </c>
      <c r="B18">
        <v>15</v>
      </c>
      <c r="D18">
        <v>17</v>
      </c>
      <c r="E18">
        <v>103.5</v>
      </c>
      <c r="H18">
        <v>17</v>
      </c>
      <c r="I18">
        <f t="shared" si="2"/>
        <v>51</v>
      </c>
      <c r="J18">
        <f t="shared" si="5"/>
        <v>56</v>
      </c>
      <c r="K18">
        <f t="shared" si="6"/>
        <v>53.5</v>
      </c>
      <c r="L18">
        <f t="shared" si="7"/>
        <v>-2.5</v>
      </c>
      <c r="M18">
        <f t="shared" si="8"/>
        <v>4.9019607843137258</v>
      </c>
      <c r="O18">
        <v>17</v>
      </c>
      <c r="P18">
        <f t="shared" si="0"/>
        <v>51</v>
      </c>
      <c r="Q18">
        <f t="shared" si="9"/>
        <v>52.666666666666664</v>
      </c>
      <c r="R18">
        <f t="shared" si="10"/>
        <v>49.333333333333336</v>
      </c>
      <c r="S18">
        <f t="shared" si="13"/>
        <v>1.6666666666666643</v>
      </c>
      <c r="T18">
        <f t="shared" si="11"/>
        <v>3.2679738562091458</v>
      </c>
      <c r="V18">
        <v>17</v>
      </c>
      <c r="W18">
        <f t="shared" si="1"/>
        <v>51</v>
      </c>
      <c r="X18">
        <f t="shared" si="12"/>
        <v>49.75</v>
      </c>
      <c r="Y18">
        <f t="shared" si="14"/>
        <v>49.75</v>
      </c>
      <c r="Z18">
        <f t="shared" si="15"/>
        <v>1.25</v>
      </c>
      <c r="AA18">
        <f t="shared" si="16"/>
        <v>2.4509803921568629</v>
      </c>
      <c r="AC18" s="2">
        <v>17</v>
      </c>
      <c r="AD18" s="2">
        <f t="shared" si="3"/>
        <v>51</v>
      </c>
      <c r="AE18" s="2">
        <f t="shared" si="17"/>
        <v>50</v>
      </c>
      <c r="AF18" s="2">
        <f t="shared" si="18"/>
        <v>51</v>
      </c>
      <c r="AG18" s="2">
        <f t="shared" si="19"/>
        <v>0</v>
      </c>
      <c r="AH18" s="2">
        <f t="shared" si="20"/>
        <v>0</v>
      </c>
      <c r="AJ18">
        <v>17</v>
      </c>
      <c r="AK18">
        <f t="shared" si="4"/>
        <v>51</v>
      </c>
      <c r="AL18">
        <f t="shared" si="21"/>
        <v>51</v>
      </c>
      <c r="AM18">
        <f t="shared" si="22"/>
        <v>49.333333333333336</v>
      </c>
      <c r="AN18">
        <f t="shared" si="23"/>
        <v>1.6666666666666643</v>
      </c>
      <c r="AO18">
        <f t="shared" si="24"/>
        <v>3.2679738562091458</v>
      </c>
    </row>
    <row r="19" spans="1:41" x14ac:dyDescent="0.35">
      <c r="A19">
        <v>18</v>
      </c>
      <c r="B19">
        <v>5</v>
      </c>
      <c r="D19">
        <v>18</v>
      </c>
      <c r="E19">
        <v>99.6</v>
      </c>
      <c r="H19">
        <v>18</v>
      </c>
      <c r="I19">
        <f t="shared" si="2"/>
        <v>41</v>
      </c>
      <c r="J19">
        <f t="shared" si="5"/>
        <v>46</v>
      </c>
      <c r="K19">
        <f t="shared" si="6"/>
        <v>56</v>
      </c>
      <c r="L19">
        <f t="shared" si="7"/>
        <v>-15</v>
      </c>
      <c r="M19">
        <f t="shared" si="8"/>
        <v>36.585365853658537</v>
      </c>
      <c r="O19">
        <v>18</v>
      </c>
      <c r="P19">
        <f t="shared" si="0"/>
        <v>41</v>
      </c>
      <c r="Q19">
        <f t="shared" si="9"/>
        <v>51</v>
      </c>
      <c r="R19">
        <f t="shared" si="10"/>
        <v>52.666666666666664</v>
      </c>
      <c r="S19">
        <f t="shared" si="13"/>
        <v>-11.666666666666664</v>
      </c>
      <c r="T19">
        <f t="shared" si="11"/>
        <v>28.455284552845523</v>
      </c>
      <c r="V19">
        <v>18</v>
      </c>
      <c r="W19">
        <f t="shared" si="1"/>
        <v>41</v>
      </c>
      <c r="X19">
        <f t="shared" si="12"/>
        <v>49.75</v>
      </c>
      <c r="Y19">
        <f t="shared" si="14"/>
        <v>49.75</v>
      </c>
      <c r="Z19">
        <f t="shared" si="15"/>
        <v>-8.75</v>
      </c>
      <c r="AA19">
        <f t="shared" si="16"/>
        <v>21.341463414634145</v>
      </c>
      <c r="AC19" s="2">
        <v>18</v>
      </c>
      <c r="AD19" s="2">
        <f t="shared" si="3"/>
        <v>41</v>
      </c>
      <c r="AE19" s="2">
        <f t="shared" si="17"/>
        <v>48</v>
      </c>
      <c r="AF19" s="2">
        <f t="shared" si="18"/>
        <v>50</v>
      </c>
      <c r="AG19" s="2">
        <f t="shared" si="19"/>
        <v>-9</v>
      </c>
      <c r="AH19" s="2">
        <f t="shared" si="20"/>
        <v>21.951219512195124</v>
      </c>
      <c r="AJ19">
        <v>18</v>
      </c>
      <c r="AK19">
        <f t="shared" si="4"/>
        <v>41</v>
      </c>
      <c r="AL19">
        <f t="shared" si="21"/>
        <v>48.5</v>
      </c>
      <c r="AM19">
        <f t="shared" si="22"/>
        <v>51</v>
      </c>
      <c r="AN19">
        <f t="shared" si="23"/>
        <v>-10</v>
      </c>
      <c r="AO19">
        <f t="shared" si="24"/>
        <v>24.390243902439025</v>
      </c>
    </row>
    <row r="20" spans="1:41" x14ac:dyDescent="0.35">
      <c r="A20">
        <v>19</v>
      </c>
      <c r="B20">
        <v>15</v>
      </c>
      <c r="D20">
        <v>19</v>
      </c>
      <c r="E20">
        <v>107.1</v>
      </c>
      <c r="H20">
        <v>19</v>
      </c>
      <c r="I20">
        <f t="shared" si="2"/>
        <v>51</v>
      </c>
      <c r="J20">
        <f t="shared" si="5"/>
        <v>46</v>
      </c>
      <c r="K20">
        <f t="shared" si="6"/>
        <v>46</v>
      </c>
      <c r="L20">
        <f t="shared" si="7"/>
        <v>5</v>
      </c>
      <c r="M20">
        <f t="shared" si="8"/>
        <v>9.8039215686274517</v>
      </c>
      <c r="O20">
        <v>19</v>
      </c>
      <c r="P20">
        <f t="shared" si="0"/>
        <v>51</v>
      </c>
      <c r="Q20">
        <f t="shared" si="9"/>
        <v>47.666666666666664</v>
      </c>
      <c r="R20">
        <f t="shared" si="10"/>
        <v>51</v>
      </c>
      <c r="S20">
        <f t="shared" si="13"/>
        <v>0</v>
      </c>
      <c r="T20">
        <f t="shared" si="11"/>
        <v>0</v>
      </c>
      <c r="V20">
        <v>19</v>
      </c>
      <c r="W20">
        <f t="shared" si="1"/>
        <v>51</v>
      </c>
      <c r="X20">
        <f t="shared" si="12"/>
        <v>51</v>
      </c>
      <c r="Y20">
        <f t="shared" si="14"/>
        <v>49.75</v>
      </c>
      <c r="Z20">
        <f t="shared" si="15"/>
        <v>1.25</v>
      </c>
      <c r="AA20">
        <f t="shared" si="16"/>
        <v>2.4509803921568629</v>
      </c>
      <c r="AC20" s="2">
        <v>19</v>
      </c>
      <c r="AD20" s="2">
        <f t="shared" si="3"/>
        <v>51</v>
      </c>
      <c r="AE20" s="2">
        <f t="shared" si="17"/>
        <v>50</v>
      </c>
      <c r="AF20" s="2">
        <f t="shared" si="18"/>
        <v>48</v>
      </c>
      <c r="AG20" s="2">
        <f t="shared" si="19"/>
        <v>3</v>
      </c>
      <c r="AH20" s="2">
        <f t="shared" si="20"/>
        <v>5.8823529411764701</v>
      </c>
      <c r="AJ20">
        <v>19</v>
      </c>
      <c r="AK20">
        <f t="shared" si="4"/>
        <v>51</v>
      </c>
      <c r="AL20">
        <f t="shared" si="21"/>
        <v>48.5</v>
      </c>
      <c r="AM20">
        <f t="shared" si="22"/>
        <v>48.5</v>
      </c>
      <c r="AN20">
        <f t="shared" si="23"/>
        <v>2.5</v>
      </c>
      <c r="AO20">
        <f t="shared" si="24"/>
        <v>4.9019607843137258</v>
      </c>
    </row>
    <row r="21" spans="1:41" x14ac:dyDescent="0.35">
      <c r="A21">
        <v>20</v>
      </c>
      <c r="B21">
        <v>20</v>
      </c>
      <c r="D21">
        <v>20</v>
      </c>
      <c r="E21">
        <v>110.9</v>
      </c>
      <c r="H21">
        <v>20</v>
      </c>
      <c r="I21">
        <f t="shared" si="2"/>
        <v>56</v>
      </c>
      <c r="J21">
        <f t="shared" si="5"/>
        <v>53.5</v>
      </c>
      <c r="K21">
        <f t="shared" si="6"/>
        <v>46</v>
      </c>
      <c r="L21">
        <f t="shared" si="7"/>
        <v>10</v>
      </c>
      <c r="M21">
        <f t="shared" si="8"/>
        <v>17.857142857142858</v>
      </c>
      <c r="O21">
        <v>20</v>
      </c>
      <c r="P21">
        <f t="shared" si="0"/>
        <v>56</v>
      </c>
      <c r="Q21">
        <f t="shared" si="9"/>
        <v>49.333333333333336</v>
      </c>
      <c r="R21">
        <f t="shared" si="10"/>
        <v>47.666666666666664</v>
      </c>
      <c r="S21">
        <f t="shared" si="13"/>
        <v>8.3333333333333357</v>
      </c>
      <c r="T21">
        <f t="shared" si="11"/>
        <v>14.880952380952387</v>
      </c>
      <c r="V21">
        <v>20</v>
      </c>
      <c r="W21">
        <f t="shared" si="1"/>
        <v>56</v>
      </c>
      <c r="X21">
        <f t="shared" si="12"/>
        <v>49.75</v>
      </c>
      <c r="Y21">
        <f t="shared" si="14"/>
        <v>51</v>
      </c>
      <c r="Z21">
        <f t="shared" si="15"/>
        <v>5</v>
      </c>
      <c r="AA21">
        <f t="shared" si="16"/>
        <v>8.9285714285714288</v>
      </c>
      <c r="AC21" s="2">
        <v>20</v>
      </c>
      <c r="AD21" s="2">
        <f t="shared" si="3"/>
        <v>56</v>
      </c>
      <c r="AE21" s="2">
        <f t="shared" si="17"/>
        <v>52</v>
      </c>
      <c r="AF21" s="2">
        <f t="shared" si="18"/>
        <v>50</v>
      </c>
      <c r="AG21" s="2">
        <f t="shared" si="19"/>
        <v>6</v>
      </c>
      <c r="AH21" s="2">
        <f t="shared" si="20"/>
        <v>10.714285714285714</v>
      </c>
      <c r="AJ21">
        <v>20</v>
      </c>
      <c r="AK21">
        <f t="shared" si="4"/>
        <v>56</v>
      </c>
      <c r="AL21">
        <f t="shared" si="21"/>
        <v>51</v>
      </c>
      <c r="AM21">
        <f t="shared" si="22"/>
        <v>48.5</v>
      </c>
      <c r="AN21">
        <f t="shared" si="23"/>
        <v>7.5</v>
      </c>
      <c r="AO21">
        <f t="shared" si="24"/>
        <v>13.392857142857142</v>
      </c>
    </row>
    <row r="22" spans="1:41" x14ac:dyDescent="0.35">
      <c r="A22">
        <v>21</v>
      </c>
      <c r="B22">
        <v>25</v>
      </c>
      <c r="D22">
        <v>21</v>
      </c>
      <c r="E22">
        <v>114.7</v>
      </c>
      <c r="H22">
        <v>21</v>
      </c>
      <c r="I22">
        <f t="shared" si="2"/>
        <v>61</v>
      </c>
      <c r="J22">
        <f t="shared" si="5"/>
        <v>58.5</v>
      </c>
      <c r="K22">
        <f t="shared" si="6"/>
        <v>53.5</v>
      </c>
      <c r="L22">
        <f t="shared" si="7"/>
        <v>7.5</v>
      </c>
      <c r="M22">
        <f t="shared" si="8"/>
        <v>12.295081967213115</v>
      </c>
      <c r="O22">
        <v>21</v>
      </c>
      <c r="P22">
        <f t="shared" si="0"/>
        <v>61</v>
      </c>
      <c r="Q22">
        <f t="shared" si="9"/>
        <v>56</v>
      </c>
      <c r="R22">
        <f t="shared" si="10"/>
        <v>49.333333333333336</v>
      </c>
      <c r="S22">
        <f t="shared" si="13"/>
        <v>11.666666666666664</v>
      </c>
      <c r="T22">
        <f t="shared" si="11"/>
        <v>19.125683060109285</v>
      </c>
      <c r="V22">
        <v>21</v>
      </c>
      <c r="W22">
        <f t="shared" si="1"/>
        <v>61</v>
      </c>
      <c r="X22">
        <f t="shared" si="12"/>
        <v>52.25</v>
      </c>
      <c r="Y22">
        <f t="shared" si="14"/>
        <v>49.75</v>
      </c>
      <c r="Z22">
        <f t="shared" si="15"/>
        <v>11.25</v>
      </c>
      <c r="AA22">
        <f t="shared" si="16"/>
        <v>18.442622950819672</v>
      </c>
      <c r="AC22" s="2">
        <v>21</v>
      </c>
      <c r="AD22" s="2">
        <f t="shared" si="3"/>
        <v>61</v>
      </c>
      <c r="AE22" s="2">
        <f t="shared" si="17"/>
        <v>52</v>
      </c>
      <c r="AF22" s="2">
        <f t="shared" si="18"/>
        <v>52</v>
      </c>
      <c r="AG22" s="2">
        <f t="shared" si="19"/>
        <v>9</v>
      </c>
      <c r="AH22" s="2">
        <f t="shared" si="20"/>
        <v>14.754098360655737</v>
      </c>
      <c r="AJ22">
        <v>21</v>
      </c>
      <c r="AK22">
        <f t="shared" si="4"/>
        <v>61</v>
      </c>
      <c r="AL22">
        <f t="shared" si="21"/>
        <v>53.5</v>
      </c>
      <c r="AM22">
        <f t="shared" si="22"/>
        <v>51</v>
      </c>
      <c r="AN22">
        <f t="shared" si="23"/>
        <v>10</v>
      </c>
      <c r="AO22">
        <f t="shared" si="24"/>
        <v>16.393442622950818</v>
      </c>
    </row>
    <row r="23" spans="1:41" x14ac:dyDescent="0.35">
      <c r="A23">
        <v>22</v>
      </c>
      <c r="B23">
        <v>15</v>
      </c>
      <c r="D23">
        <v>22</v>
      </c>
      <c r="E23">
        <v>112.1</v>
      </c>
      <c r="H23">
        <v>22</v>
      </c>
      <c r="I23">
        <f t="shared" si="2"/>
        <v>51</v>
      </c>
      <c r="J23">
        <f t="shared" si="5"/>
        <v>56</v>
      </c>
      <c r="K23">
        <f t="shared" si="6"/>
        <v>58.5</v>
      </c>
      <c r="L23">
        <f t="shared" si="7"/>
        <v>-7.5</v>
      </c>
      <c r="M23">
        <f t="shared" si="8"/>
        <v>14.705882352941178</v>
      </c>
      <c r="O23">
        <v>22</v>
      </c>
      <c r="P23">
        <f t="shared" si="0"/>
        <v>51</v>
      </c>
      <c r="Q23">
        <f t="shared" si="9"/>
        <v>56</v>
      </c>
      <c r="R23">
        <f t="shared" si="10"/>
        <v>56</v>
      </c>
      <c r="S23">
        <f t="shared" si="13"/>
        <v>-5</v>
      </c>
      <c r="T23">
        <f t="shared" si="11"/>
        <v>9.8039215686274517</v>
      </c>
      <c r="V23">
        <v>22</v>
      </c>
      <c r="W23">
        <f t="shared" si="1"/>
        <v>51</v>
      </c>
      <c r="X23">
        <f t="shared" si="12"/>
        <v>54.75</v>
      </c>
      <c r="Y23">
        <f t="shared" si="14"/>
        <v>52.25</v>
      </c>
      <c r="Z23">
        <f t="shared" si="15"/>
        <v>-1.25</v>
      </c>
      <c r="AA23">
        <f t="shared" si="16"/>
        <v>2.4509803921568629</v>
      </c>
      <c r="AC23" s="2">
        <v>22</v>
      </c>
      <c r="AD23" s="2">
        <f t="shared" si="3"/>
        <v>51</v>
      </c>
      <c r="AE23" s="2">
        <f t="shared" si="17"/>
        <v>52</v>
      </c>
      <c r="AF23" s="2">
        <f t="shared" si="18"/>
        <v>52</v>
      </c>
      <c r="AG23" s="2">
        <f t="shared" si="19"/>
        <v>-1</v>
      </c>
      <c r="AH23" s="2">
        <f t="shared" si="20"/>
        <v>1.9607843137254901</v>
      </c>
      <c r="AJ23">
        <v>22</v>
      </c>
      <c r="AK23">
        <f t="shared" si="4"/>
        <v>51</v>
      </c>
      <c r="AL23">
        <f t="shared" si="21"/>
        <v>51.833333333333336</v>
      </c>
      <c r="AM23">
        <f t="shared" si="22"/>
        <v>53.5</v>
      </c>
      <c r="AN23">
        <f t="shared" si="23"/>
        <v>-2.5</v>
      </c>
      <c r="AO23">
        <f t="shared" si="24"/>
        <v>4.9019607843137258</v>
      </c>
    </row>
    <row r="24" spans="1:41" x14ac:dyDescent="0.35">
      <c r="A24">
        <v>23</v>
      </c>
      <c r="B24">
        <v>0</v>
      </c>
      <c r="D24">
        <v>23</v>
      </c>
      <c r="E24">
        <v>105.5</v>
      </c>
      <c r="H24">
        <v>23</v>
      </c>
      <c r="I24">
        <f t="shared" si="2"/>
        <v>36</v>
      </c>
      <c r="J24">
        <f t="shared" si="5"/>
        <v>43.5</v>
      </c>
      <c r="K24">
        <f t="shared" si="6"/>
        <v>56</v>
      </c>
      <c r="L24">
        <f t="shared" si="7"/>
        <v>-20</v>
      </c>
      <c r="M24">
        <f t="shared" si="8"/>
        <v>55.555555555555557</v>
      </c>
      <c r="O24">
        <v>23</v>
      </c>
      <c r="P24">
        <f t="shared" si="0"/>
        <v>36</v>
      </c>
      <c r="Q24">
        <f t="shared" si="9"/>
        <v>49.333333333333336</v>
      </c>
      <c r="R24">
        <f t="shared" si="10"/>
        <v>56</v>
      </c>
      <c r="S24">
        <f t="shared" si="13"/>
        <v>-20</v>
      </c>
      <c r="T24">
        <f t="shared" si="11"/>
        <v>55.555555555555557</v>
      </c>
      <c r="V24">
        <v>23</v>
      </c>
      <c r="W24">
        <f t="shared" si="1"/>
        <v>36</v>
      </c>
      <c r="X24">
        <f t="shared" si="12"/>
        <v>51</v>
      </c>
      <c r="Y24">
        <f t="shared" si="14"/>
        <v>54.75</v>
      </c>
      <c r="Z24">
        <f t="shared" si="15"/>
        <v>-18.75</v>
      </c>
      <c r="AA24">
        <f t="shared" si="16"/>
        <v>52.083333333333336</v>
      </c>
      <c r="AC24" s="2">
        <v>23</v>
      </c>
      <c r="AD24" s="2">
        <f t="shared" si="3"/>
        <v>36</v>
      </c>
      <c r="AE24" s="2">
        <f t="shared" si="17"/>
        <v>51</v>
      </c>
      <c r="AF24" s="2">
        <f t="shared" si="18"/>
        <v>52</v>
      </c>
      <c r="AG24" s="2">
        <f t="shared" si="19"/>
        <v>-16</v>
      </c>
      <c r="AH24" s="2">
        <f t="shared" si="20"/>
        <v>44.444444444444443</v>
      </c>
      <c r="AJ24">
        <v>23</v>
      </c>
      <c r="AK24">
        <f t="shared" si="4"/>
        <v>36</v>
      </c>
      <c r="AL24">
        <f t="shared" si="21"/>
        <v>49.333333333333336</v>
      </c>
      <c r="AM24">
        <f t="shared" si="22"/>
        <v>51.833333333333336</v>
      </c>
      <c r="AN24">
        <f t="shared" si="23"/>
        <v>-15.833333333333336</v>
      </c>
      <c r="AO24">
        <f t="shared" si="24"/>
        <v>43.981481481481488</v>
      </c>
    </row>
    <row r="25" spans="1:41" x14ac:dyDescent="0.35">
      <c r="A25">
        <v>24</v>
      </c>
      <c r="B25">
        <v>5</v>
      </c>
      <c r="D25">
        <v>24</v>
      </c>
      <c r="E25">
        <v>110.9</v>
      </c>
      <c r="H25">
        <v>24</v>
      </c>
      <c r="I25">
        <f t="shared" si="2"/>
        <v>41</v>
      </c>
      <c r="J25">
        <f t="shared" si="5"/>
        <v>38.5</v>
      </c>
      <c r="K25">
        <f t="shared" si="6"/>
        <v>43.5</v>
      </c>
      <c r="L25">
        <f>I25-K25</f>
        <v>-2.5</v>
      </c>
      <c r="M25">
        <f t="shared" si="8"/>
        <v>6.0975609756097562</v>
      </c>
      <c r="O25">
        <v>24</v>
      </c>
      <c r="P25">
        <f t="shared" si="0"/>
        <v>41</v>
      </c>
      <c r="Q25">
        <f t="shared" si="9"/>
        <v>42.666666666666664</v>
      </c>
      <c r="R25">
        <f t="shared" si="10"/>
        <v>49.333333333333336</v>
      </c>
      <c r="S25">
        <f t="shared" si="13"/>
        <v>-8.3333333333333357</v>
      </c>
      <c r="T25">
        <f t="shared" si="11"/>
        <v>20.325203252032527</v>
      </c>
      <c r="V25">
        <v>24</v>
      </c>
      <c r="W25">
        <f t="shared" si="1"/>
        <v>41</v>
      </c>
      <c r="X25">
        <f t="shared" si="12"/>
        <v>47.25</v>
      </c>
      <c r="Y25">
        <f t="shared" si="14"/>
        <v>51</v>
      </c>
      <c r="Z25">
        <f t="shared" si="15"/>
        <v>-10</v>
      </c>
      <c r="AA25">
        <f t="shared" si="16"/>
        <v>24.390243902439025</v>
      </c>
      <c r="AC25" s="2">
        <v>24</v>
      </c>
      <c r="AD25" s="2">
        <f t="shared" si="3"/>
        <v>41</v>
      </c>
      <c r="AE25" s="2">
        <f t="shared" si="17"/>
        <v>49</v>
      </c>
      <c r="AF25" s="2">
        <f t="shared" si="18"/>
        <v>51</v>
      </c>
      <c r="AG25" s="2">
        <f t="shared" si="19"/>
        <v>-10</v>
      </c>
      <c r="AH25" s="2">
        <f t="shared" si="20"/>
        <v>24.390243902439025</v>
      </c>
      <c r="AJ25">
        <v>24</v>
      </c>
      <c r="AK25">
        <f t="shared" si="4"/>
        <v>41</v>
      </c>
      <c r="AL25">
        <f t="shared" si="21"/>
        <v>49.333333333333336</v>
      </c>
      <c r="AM25">
        <f t="shared" si="22"/>
        <v>49.333333333333336</v>
      </c>
      <c r="AN25">
        <f t="shared" si="23"/>
        <v>-8.3333333333333357</v>
      </c>
      <c r="AO25">
        <f t="shared" si="24"/>
        <v>20.325203252032527</v>
      </c>
    </row>
    <row r="26" spans="1:41" x14ac:dyDescent="0.35">
      <c r="H26" t="s">
        <v>3</v>
      </c>
      <c r="M26">
        <f>AVERAGE(M4:M25)</f>
        <v>16.301222012016339</v>
      </c>
      <c r="O26" t="s">
        <v>3</v>
      </c>
      <c r="T26">
        <f>AVERAGE(T5:T25)</f>
        <v>16.330086332620578</v>
      </c>
      <c r="V26" t="s">
        <v>3</v>
      </c>
      <c r="AA26">
        <f>AVERAGE(AA6:AA25)</f>
        <v>14.217375861736656</v>
      </c>
      <c r="AC26" s="2" t="s">
        <v>3</v>
      </c>
      <c r="AD26" s="2"/>
      <c r="AE26" s="2"/>
      <c r="AF26" s="2"/>
      <c r="AG26" s="2"/>
      <c r="AH26" s="2">
        <f>AVERAGE(AH7:AH25)</f>
        <v>14.164087082424793</v>
      </c>
      <c r="AJ26" t="s">
        <v>3</v>
      </c>
      <c r="AO26">
        <f>AVERAGE(AO8:AO25)</f>
        <v>14.987557926726392</v>
      </c>
    </row>
    <row r="27" spans="1:41" x14ac:dyDescent="0.35">
      <c r="H27" t="s">
        <v>6</v>
      </c>
      <c r="I27">
        <v>2</v>
      </c>
      <c r="O27" t="s">
        <v>6</v>
      </c>
      <c r="P27">
        <v>3</v>
      </c>
      <c r="V27" t="s">
        <v>6</v>
      </c>
      <c r="W27">
        <v>4</v>
      </c>
      <c r="AC27" s="2" t="s">
        <v>6</v>
      </c>
      <c r="AD27" s="2">
        <v>5</v>
      </c>
      <c r="AE27" s="2"/>
      <c r="AF27" s="2"/>
      <c r="AG27" s="2"/>
      <c r="AH27" s="2"/>
      <c r="AJ27" t="s">
        <v>6</v>
      </c>
      <c r="AK27">
        <v>6</v>
      </c>
    </row>
    <row r="29" spans="1:41" x14ac:dyDescent="0.35">
      <c r="H29" s="3" t="s">
        <v>0</v>
      </c>
      <c r="I29" s="3" t="s">
        <v>2</v>
      </c>
      <c r="J29" s="3" t="s">
        <v>4</v>
      </c>
      <c r="K29" s="3" t="s">
        <v>5</v>
      </c>
      <c r="L29" s="3" t="s">
        <v>7</v>
      </c>
      <c r="M29" s="3" t="s">
        <v>8</v>
      </c>
      <c r="O29" t="s">
        <v>0</v>
      </c>
      <c r="P29" t="s">
        <v>2</v>
      </c>
      <c r="Q29" t="s">
        <v>4</v>
      </c>
      <c r="R29" t="s">
        <v>5</v>
      </c>
      <c r="S29" t="s">
        <v>7</v>
      </c>
      <c r="T29" t="s">
        <v>8</v>
      </c>
      <c r="V29" t="s">
        <v>0</v>
      </c>
      <c r="W29" t="s">
        <v>2</v>
      </c>
      <c r="X29" t="s">
        <v>4</v>
      </c>
      <c r="Y29" t="s">
        <v>5</v>
      </c>
      <c r="Z29" t="s">
        <v>7</v>
      </c>
      <c r="AA29" t="s">
        <v>8</v>
      </c>
      <c r="AC29" t="s">
        <v>0</v>
      </c>
      <c r="AD29" t="s">
        <v>2</v>
      </c>
      <c r="AE29" t="s">
        <v>4</v>
      </c>
      <c r="AF29" t="s">
        <v>5</v>
      </c>
      <c r="AG29" t="s">
        <v>7</v>
      </c>
      <c r="AH29" t="s">
        <v>8</v>
      </c>
      <c r="AJ29" t="s">
        <v>0</v>
      </c>
      <c r="AK29" t="s">
        <v>2</v>
      </c>
      <c r="AL29" t="s">
        <v>4</v>
      </c>
      <c r="AM29" t="s">
        <v>5</v>
      </c>
      <c r="AN29" t="s">
        <v>7</v>
      </c>
      <c r="AO29" t="s">
        <v>8</v>
      </c>
    </row>
    <row r="30" spans="1:41" x14ac:dyDescent="0.35">
      <c r="H30" s="2">
        <v>1</v>
      </c>
      <c r="I30" s="2">
        <f>E2+36</f>
        <v>128.80000000000001</v>
      </c>
      <c r="J30" s="2"/>
      <c r="K30" s="2"/>
      <c r="L30" s="2"/>
      <c r="M30" s="2"/>
      <c r="O30">
        <v>1</v>
      </c>
      <c r="P30">
        <f>E2+36</f>
        <v>128.80000000000001</v>
      </c>
      <c r="V30">
        <v>1</v>
      </c>
      <c r="W30">
        <f>E2+36</f>
        <v>128.80000000000001</v>
      </c>
      <c r="AC30">
        <v>1</v>
      </c>
      <c r="AD30">
        <f>E2+36</f>
        <v>128.80000000000001</v>
      </c>
      <c r="AJ30">
        <v>1</v>
      </c>
      <c r="AK30">
        <f>E2+36</f>
        <v>128.80000000000001</v>
      </c>
    </row>
    <row r="31" spans="1:41" x14ac:dyDescent="0.35">
      <c r="H31" s="2">
        <v>2</v>
      </c>
      <c r="I31" s="2">
        <f t="shared" ref="I31:I53" si="25">E3+36</f>
        <v>115.2</v>
      </c>
      <c r="J31" s="2">
        <f>AVERAGE(I30:I31)</f>
        <v>122</v>
      </c>
      <c r="K31" s="2"/>
      <c r="L31" s="2"/>
      <c r="M31" s="2"/>
      <c r="O31">
        <v>2</v>
      </c>
      <c r="P31">
        <f t="shared" ref="P31:P53" si="26">E3+36</f>
        <v>115.2</v>
      </c>
      <c r="V31">
        <v>2</v>
      </c>
      <c r="W31">
        <f t="shared" ref="W31:W53" si="27">E3+36</f>
        <v>115.2</v>
      </c>
      <c r="AC31">
        <v>2</v>
      </c>
      <c r="AD31">
        <f t="shared" ref="AD31:AD53" si="28">E3+36</f>
        <v>115.2</v>
      </c>
      <c r="AJ31">
        <v>2</v>
      </c>
      <c r="AK31">
        <f t="shared" ref="AK31:AK53" si="29">E3+36</f>
        <v>115.2</v>
      </c>
    </row>
    <row r="32" spans="1:41" x14ac:dyDescent="0.35">
      <c r="H32" s="2">
        <v>3</v>
      </c>
      <c r="I32" s="2">
        <f t="shared" si="25"/>
        <v>120.5</v>
      </c>
      <c r="J32" s="2">
        <f t="shared" ref="J32:J53" si="30">AVERAGE(I31:I32)</f>
        <v>117.85</v>
      </c>
      <c r="K32" s="2">
        <f>J31</f>
        <v>122</v>
      </c>
      <c r="L32" s="2">
        <f>I32-K32</f>
        <v>-1.5</v>
      </c>
      <c r="M32" s="2">
        <f>(ABS(L32)/I32)*100</f>
        <v>1.2448132780082988</v>
      </c>
      <c r="O32">
        <v>3</v>
      </c>
      <c r="P32">
        <f t="shared" si="26"/>
        <v>120.5</v>
      </c>
      <c r="Q32">
        <f>AVERAGE(P30:P32)</f>
        <v>121.5</v>
      </c>
      <c r="V32">
        <v>3</v>
      </c>
      <c r="W32">
        <f t="shared" si="27"/>
        <v>120.5</v>
      </c>
      <c r="AC32">
        <v>3</v>
      </c>
      <c r="AD32">
        <f t="shared" si="28"/>
        <v>120.5</v>
      </c>
      <c r="AJ32">
        <v>3</v>
      </c>
      <c r="AK32">
        <f t="shared" si="29"/>
        <v>120.5</v>
      </c>
    </row>
    <row r="33" spans="8:41" x14ac:dyDescent="0.35">
      <c r="H33" s="2">
        <v>4</v>
      </c>
      <c r="I33" s="2">
        <f t="shared" si="25"/>
        <v>119</v>
      </c>
      <c r="J33" s="2">
        <f t="shared" si="30"/>
        <v>119.75</v>
      </c>
      <c r="K33" s="2">
        <f t="shared" ref="K33:K53" si="31">J32</f>
        <v>117.85</v>
      </c>
      <c r="L33" s="2">
        <f t="shared" ref="L33:L53" si="32">I33-K33</f>
        <v>1.1500000000000057</v>
      </c>
      <c r="M33" s="2">
        <f t="shared" ref="M33:M53" si="33">(ABS(L33)/I33)*100</f>
        <v>0.96638655462185341</v>
      </c>
      <c r="O33">
        <v>4</v>
      </c>
      <c r="P33">
        <f t="shared" si="26"/>
        <v>119</v>
      </c>
      <c r="Q33">
        <f t="shared" ref="Q33:Q53" si="34">AVERAGE(P31:P33)</f>
        <v>118.23333333333333</v>
      </c>
      <c r="R33">
        <f>Q32</f>
        <v>121.5</v>
      </c>
      <c r="S33">
        <f>P33-R33</f>
        <v>-2.5</v>
      </c>
      <c r="T33">
        <f t="shared" ref="T33:T53" si="35">(ABS(S33)/P33)*100</f>
        <v>2.1008403361344539</v>
      </c>
      <c r="V33">
        <v>4</v>
      </c>
      <c r="W33">
        <f t="shared" si="27"/>
        <v>119</v>
      </c>
      <c r="X33">
        <f>AVERAGE(W30:W33)</f>
        <v>120.875</v>
      </c>
      <c r="AC33">
        <v>4</v>
      </c>
      <c r="AD33">
        <f t="shared" si="28"/>
        <v>119</v>
      </c>
      <c r="AJ33">
        <v>4</v>
      </c>
      <c r="AK33">
        <f t="shared" si="29"/>
        <v>119</v>
      </c>
    </row>
    <row r="34" spans="8:41" x14ac:dyDescent="0.35">
      <c r="H34" s="2">
        <v>5</v>
      </c>
      <c r="I34" s="2">
        <f t="shared" si="25"/>
        <v>124.1</v>
      </c>
      <c r="J34" s="2">
        <f t="shared" si="30"/>
        <v>121.55</v>
      </c>
      <c r="K34" s="2">
        <f t="shared" si="31"/>
        <v>119.75</v>
      </c>
      <c r="L34" s="2">
        <f t="shared" si="32"/>
        <v>4.3499999999999943</v>
      </c>
      <c r="M34" s="2">
        <f t="shared" si="33"/>
        <v>3.5052377115229607</v>
      </c>
      <c r="O34">
        <v>5</v>
      </c>
      <c r="P34">
        <f t="shared" si="26"/>
        <v>124.1</v>
      </c>
      <c r="Q34">
        <f t="shared" si="34"/>
        <v>121.2</v>
      </c>
      <c r="R34">
        <f t="shared" ref="R34:R53" si="36">Q33</f>
        <v>118.23333333333333</v>
      </c>
      <c r="S34">
        <f t="shared" ref="S34:S53" si="37">P34-R34</f>
        <v>5.86666666666666</v>
      </c>
      <c r="T34">
        <f t="shared" si="35"/>
        <v>4.7273704002148751</v>
      </c>
      <c r="V34">
        <v>5</v>
      </c>
      <c r="W34">
        <f t="shared" si="27"/>
        <v>124.1</v>
      </c>
      <c r="X34">
        <f t="shared" ref="X34:X53" si="38">AVERAGE(W31:W34)</f>
        <v>119.69999999999999</v>
      </c>
      <c r="Y34">
        <f>X33</f>
        <v>120.875</v>
      </c>
      <c r="Z34">
        <f>W34-Y34</f>
        <v>3.2249999999999943</v>
      </c>
      <c r="AA34">
        <f>(ABS(Z34)/W34)*100</f>
        <v>2.598710717163573</v>
      </c>
      <c r="AC34">
        <v>5</v>
      </c>
      <c r="AD34">
        <f t="shared" si="28"/>
        <v>124.1</v>
      </c>
      <c r="AE34">
        <f>AVERAGE(AD30:AD34)</f>
        <v>121.52000000000001</v>
      </c>
      <c r="AJ34">
        <v>5</v>
      </c>
      <c r="AK34">
        <f t="shared" si="29"/>
        <v>124.1</v>
      </c>
    </row>
    <row r="35" spans="8:41" x14ac:dyDescent="0.35">
      <c r="H35" s="2">
        <v>6</v>
      </c>
      <c r="I35" s="2">
        <f t="shared" si="25"/>
        <v>119.9</v>
      </c>
      <c r="J35" s="2">
        <f t="shared" si="30"/>
        <v>122</v>
      </c>
      <c r="K35" s="2">
        <f t="shared" si="31"/>
        <v>121.55</v>
      </c>
      <c r="L35" s="2">
        <f t="shared" si="32"/>
        <v>-1.6499999999999915</v>
      </c>
      <c r="M35" s="2">
        <f t="shared" si="33"/>
        <v>1.3761467889908185</v>
      </c>
      <c r="O35">
        <v>6</v>
      </c>
      <c r="P35">
        <f t="shared" si="26"/>
        <v>119.9</v>
      </c>
      <c r="Q35">
        <f t="shared" si="34"/>
        <v>121</v>
      </c>
      <c r="R35">
        <f t="shared" si="36"/>
        <v>121.2</v>
      </c>
      <c r="S35">
        <f t="shared" si="37"/>
        <v>-1.2999999999999972</v>
      </c>
      <c r="T35">
        <f t="shared" si="35"/>
        <v>1.0842368640533755</v>
      </c>
      <c r="V35">
        <v>6</v>
      </c>
      <c r="W35">
        <f t="shared" si="27"/>
        <v>119.9</v>
      </c>
      <c r="X35">
        <f t="shared" si="38"/>
        <v>120.875</v>
      </c>
      <c r="Y35">
        <f t="shared" ref="Y35:Y53" si="39">X34</f>
        <v>119.69999999999999</v>
      </c>
      <c r="Z35">
        <f t="shared" ref="Z35:Z53" si="40">W35-Y35</f>
        <v>0.20000000000001705</v>
      </c>
      <c r="AA35">
        <f t="shared" ref="AA35:AA53" si="41">(ABS(Z35)/W35)*100</f>
        <v>0.16680567139284158</v>
      </c>
      <c r="AC35">
        <v>6</v>
      </c>
      <c r="AD35">
        <f t="shared" si="28"/>
        <v>119.9</v>
      </c>
      <c r="AE35">
        <f t="shared" ref="AE35:AE53" si="42">AVERAGE(AD31:AD35)</f>
        <v>119.73999999999998</v>
      </c>
      <c r="AF35">
        <f>AE34</f>
        <v>121.52000000000001</v>
      </c>
      <c r="AG35">
        <f t="shared" ref="AG35:AG53" si="43">AD35-AF35</f>
        <v>-1.6200000000000045</v>
      </c>
      <c r="AH35">
        <f>(ABS(AG35)/AD35)*100</f>
        <v>1.3511259382819054</v>
      </c>
      <c r="AJ35">
        <v>6</v>
      </c>
      <c r="AK35">
        <f t="shared" si="29"/>
        <v>119.9</v>
      </c>
      <c r="AL35">
        <f>AVERAGE(AK30:AK35)</f>
        <v>121.25</v>
      </c>
    </row>
    <row r="36" spans="8:41" x14ac:dyDescent="0.35">
      <c r="H36" s="2">
        <v>7</v>
      </c>
      <c r="I36" s="2">
        <f t="shared" si="25"/>
        <v>115.9</v>
      </c>
      <c r="J36" s="2">
        <f t="shared" si="30"/>
        <v>117.9</v>
      </c>
      <c r="K36" s="2">
        <f t="shared" si="31"/>
        <v>122</v>
      </c>
      <c r="L36" s="2">
        <f t="shared" si="32"/>
        <v>-6.0999999999999943</v>
      </c>
      <c r="M36" s="2">
        <f t="shared" si="33"/>
        <v>5.2631578947368372</v>
      </c>
      <c r="O36">
        <v>7</v>
      </c>
      <c r="P36">
        <f t="shared" si="26"/>
        <v>115.9</v>
      </c>
      <c r="Q36">
        <f t="shared" si="34"/>
        <v>119.96666666666665</v>
      </c>
      <c r="R36">
        <f t="shared" si="36"/>
        <v>121</v>
      </c>
      <c r="S36">
        <f t="shared" si="37"/>
        <v>-5.0999999999999943</v>
      </c>
      <c r="T36">
        <f t="shared" si="35"/>
        <v>4.4003451251078465</v>
      </c>
      <c r="V36">
        <v>7</v>
      </c>
      <c r="W36">
        <f t="shared" si="27"/>
        <v>115.9</v>
      </c>
      <c r="X36">
        <f t="shared" si="38"/>
        <v>119.72499999999999</v>
      </c>
      <c r="Y36">
        <f t="shared" si="39"/>
        <v>120.875</v>
      </c>
      <c r="Z36">
        <f t="shared" si="40"/>
        <v>-4.9749999999999943</v>
      </c>
      <c r="AA36">
        <f t="shared" si="41"/>
        <v>4.2924935289042221</v>
      </c>
      <c r="AC36">
        <v>7</v>
      </c>
      <c r="AD36">
        <f t="shared" si="28"/>
        <v>115.9</v>
      </c>
      <c r="AE36">
        <f t="shared" si="42"/>
        <v>119.88</v>
      </c>
      <c r="AF36">
        <f t="shared" ref="AF36:AF53" si="44">AE35</f>
        <v>119.73999999999998</v>
      </c>
      <c r="AG36">
        <f t="shared" si="43"/>
        <v>-3.839999999999975</v>
      </c>
      <c r="AH36">
        <f t="shared" ref="AH36:AH53" si="45">(ABS(AG36)/AD36)*100</f>
        <v>3.3132010353753016</v>
      </c>
      <c r="AJ36">
        <v>7</v>
      </c>
      <c r="AK36">
        <f t="shared" si="29"/>
        <v>115.9</v>
      </c>
      <c r="AL36">
        <f t="shared" ref="AL36:AL53" si="46">AVERAGE(AK31:AK36)</f>
        <v>119.09999999999998</v>
      </c>
      <c r="AM36">
        <f t="shared" ref="AM36:AM53" si="47">AL35</f>
        <v>121.25</v>
      </c>
      <c r="AN36">
        <f t="shared" ref="AN36:AN53" si="48">AK36-AM36</f>
        <v>-5.3499999999999943</v>
      </c>
      <c r="AO36">
        <f t="shared" ref="AO36:AO53" si="49">(ABS(AN36)/AK36)*100</f>
        <v>4.6160483175150935</v>
      </c>
    </row>
    <row r="37" spans="8:41" x14ac:dyDescent="0.35">
      <c r="H37" s="2">
        <v>8</v>
      </c>
      <c r="I37" s="2">
        <f t="shared" si="25"/>
        <v>117.1</v>
      </c>
      <c r="J37" s="2">
        <f t="shared" si="30"/>
        <v>116.5</v>
      </c>
      <c r="K37" s="2">
        <f t="shared" si="31"/>
        <v>117.9</v>
      </c>
      <c r="L37" s="2">
        <f t="shared" si="32"/>
        <v>-0.80000000000001137</v>
      </c>
      <c r="M37" s="2">
        <f t="shared" si="33"/>
        <v>0.68317677198976201</v>
      </c>
      <c r="O37">
        <v>8</v>
      </c>
      <c r="P37">
        <f t="shared" si="26"/>
        <v>117.1</v>
      </c>
      <c r="Q37">
        <f t="shared" si="34"/>
        <v>117.63333333333333</v>
      </c>
      <c r="R37">
        <f t="shared" si="36"/>
        <v>119.96666666666665</v>
      </c>
      <c r="S37">
        <f t="shared" si="37"/>
        <v>-2.86666666666666</v>
      </c>
      <c r="T37">
        <f t="shared" si="35"/>
        <v>2.4480500996299401</v>
      </c>
      <c r="V37">
        <v>8</v>
      </c>
      <c r="W37">
        <f t="shared" si="27"/>
        <v>117.1</v>
      </c>
      <c r="X37">
        <f t="shared" si="38"/>
        <v>119.25</v>
      </c>
      <c r="Y37">
        <f t="shared" si="39"/>
        <v>119.72499999999999</v>
      </c>
      <c r="Z37">
        <f t="shared" si="40"/>
        <v>-2.625</v>
      </c>
      <c r="AA37">
        <f t="shared" si="41"/>
        <v>2.2416737830913749</v>
      </c>
      <c r="AC37">
        <v>8</v>
      </c>
      <c r="AD37">
        <f t="shared" si="28"/>
        <v>117.1</v>
      </c>
      <c r="AE37">
        <f t="shared" si="42"/>
        <v>119.2</v>
      </c>
      <c r="AF37">
        <f t="shared" si="44"/>
        <v>119.88</v>
      </c>
      <c r="AG37">
        <f t="shared" si="43"/>
        <v>-2.7800000000000011</v>
      </c>
      <c r="AH37">
        <f t="shared" si="45"/>
        <v>2.3740392826643903</v>
      </c>
      <c r="AJ37">
        <v>8</v>
      </c>
      <c r="AK37">
        <f t="shared" si="29"/>
        <v>117.1</v>
      </c>
      <c r="AL37">
        <f t="shared" si="46"/>
        <v>119.41666666666667</v>
      </c>
      <c r="AM37">
        <f t="shared" si="47"/>
        <v>119.09999999999998</v>
      </c>
      <c r="AN37">
        <f t="shared" si="48"/>
        <v>-1.9999999999999858</v>
      </c>
      <c r="AO37">
        <f t="shared" si="49"/>
        <v>1.7079419299743686</v>
      </c>
    </row>
    <row r="38" spans="8:41" x14ac:dyDescent="0.35">
      <c r="H38" s="2">
        <v>9</v>
      </c>
      <c r="I38" s="2">
        <f t="shared" si="25"/>
        <v>122.4</v>
      </c>
      <c r="J38" s="2">
        <f t="shared" si="30"/>
        <v>119.75</v>
      </c>
      <c r="K38" s="2">
        <f t="shared" si="31"/>
        <v>116.5</v>
      </c>
      <c r="L38" s="2">
        <f t="shared" si="32"/>
        <v>5.9000000000000057</v>
      </c>
      <c r="M38" s="2">
        <f t="shared" si="33"/>
        <v>4.8202614379085009</v>
      </c>
      <c r="O38">
        <v>9</v>
      </c>
      <c r="P38">
        <f t="shared" si="26"/>
        <v>122.4</v>
      </c>
      <c r="Q38">
        <f t="shared" si="34"/>
        <v>118.46666666666665</v>
      </c>
      <c r="R38">
        <f t="shared" si="36"/>
        <v>117.63333333333333</v>
      </c>
      <c r="S38">
        <f t="shared" si="37"/>
        <v>4.7666666666666799</v>
      </c>
      <c r="T38">
        <f t="shared" si="35"/>
        <v>3.8943355119825815</v>
      </c>
      <c r="V38">
        <v>9</v>
      </c>
      <c r="W38">
        <f t="shared" si="27"/>
        <v>122.4</v>
      </c>
      <c r="X38">
        <f t="shared" si="38"/>
        <v>118.82499999999999</v>
      </c>
      <c r="Y38">
        <f t="shared" si="39"/>
        <v>119.25</v>
      </c>
      <c r="Z38">
        <f t="shared" si="40"/>
        <v>3.1500000000000057</v>
      </c>
      <c r="AA38">
        <f t="shared" si="41"/>
        <v>2.5735294117647101</v>
      </c>
      <c r="AC38">
        <v>9</v>
      </c>
      <c r="AD38">
        <f t="shared" si="28"/>
        <v>122.4</v>
      </c>
      <c r="AE38">
        <f t="shared" si="42"/>
        <v>119.88</v>
      </c>
      <c r="AF38">
        <f t="shared" si="44"/>
        <v>119.2</v>
      </c>
      <c r="AG38">
        <f t="shared" si="43"/>
        <v>3.2000000000000028</v>
      </c>
      <c r="AH38">
        <f t="shared" si="45"/>
        <v>2.6143790849673225</v>
      </c>
      <c r="AJ38">
        <v>9</v>
      </c>
      <c r="AK38">
        <f t="shared" si="29"/>
        <v>122.4</v>
      </c>
      <c r="AL38">
        <f t="shared" si="46"/>
        <v>119.73333333333333</v>
      </c>
      <c r="AM38">
        <f t="shared" si="47"/>
        <v>119.41666666666667</v>
      </c>
      <c r="AN38">
        <f t="shared" si="48"/>
        <v>2.9833333333333343</v>
      </c>
      <c r="AO38">
        <f t="shared" si="49"/>
        <v>2.4373638344226589</v>
      </c>
    </row>
    <row r="39" spans="8:41" x14ac:dyDescent="0.35">
      <c r="H39" s="2">
        <v>10</v>
      </c>
      <c r="I39" s="2">
        <f t="shared" si="25"/>
        <v>122.3</v>
      </c>
      <c r="J39" s="2">
        <f t="shared" si="30"/>
        <v>122.35</v>
      </c>
      <c r="K39" s="2">
        <f t="shared" si="31"/>
        <v>119.75</v>
      </c>
      <c r="L39" s="2">
        <f t="shared" si="32"/>
        <v>2.5499999999999972</v>
      </c>
      <c r="M39" s="2">
        <f t="shared" si="33"/>
        <v>2.0850367947669644</v>
      </c>
      <c r="O39">
        <v>10</v>
      </c>
      <c r="P39">
        <f t="shared" si="26"/>
        <v>122.3</v>
      </c>
      <c r="Q39">
        <f t="shared" si="34"/>
        <v>120.60000000000001</v>
      </c>
      <c r="R39">
        <f t="shared" si="36"/>
        <v>118.46666666666665</v>
      </c>
      <c r="S39">
        <f t="shared" si="37"/>
        <v>3.8333333333333428</v>
      </c>
      <c r="T39">
        <f t="shared" si="35"/>
        <v>3.1343690378849902</v>
      </c>
      <c r="V39">
        <v>10</v>
      </c>
      <c r="W39">
        <f t="shared" si="27"/>
        <v>122.3</v>
      </c>
      <c r="X39">
        <f t="shared" si="38"/>
        <v>119.425</v>
      </c>
      <c r="Y39">
        <f t="shared" si="39"/>
        <v>118.82499999999999</v>
      </c>
      <c r="Z39">
        <f t="shared" si="40"/>
        <v>3.4750000000000085</v>
      </c>
      <c r="AA39">
        <f t="shared" si="41"/>
        <v>2.8413736713000888</v>
      </c>
      <c r="AC39">
        <v>10</v>
      </c>
      <c r="AD39">
        <f t="shared" si="28"/>
        <v>122.3</v>
      </c>
      <c r="AE39">
        <f t="shared" si="42"/>
        <v>119.51999999999998</v>
      </c>
      <c r="AF39">
        <f t="shared" si="44"/>
        <v>119.88</v>
      </c>
      <c r="AG39">
        <f t="shared" si="43"/>
        <v>2.4200000000000017</v>
      </c>
      <c r="AH39">
        <f t="shared" si="45"/>
        <v>1.9787408013082597</v>
      </c>
      <c r="AJ39">
        <v>10</v>
      </c>
      <c r="AK39">
        <f t="shared" si="29"/>
        <v>122.3</v>
      </c>
      <c r="AL39">
        <f t="shared" si="46"/>
        <v>120.28333333333332</v>
      </c>
      <c r="AM39">
        <f t="shared" si="47"/>
        <v>119.73333333333333</v>
      </c>
      <c r="AN39">
        <f t="shared" si="48"/>
        <v>2.5666666666666629</v>
      </c>
      <c r="AO39">
        <f t="shared" si="49"/>
        <v>2.0986644862360286</v>
      </c>
    </row>
    <row r="40" spans="8:41" x14ac:dyDescent="0.35">
      <c r="H40" s="2">
        <v>11</v>
      </c>
      <c r="I40" s="2">
        <f t="shared" si="25"/>
        <v>117.9</v>
      </c>
      <c r="J40" s="2">
        <f t="shared" si="30"/>
        <v>120.1</v>
      </c>
      <c r="K40" s="2">
        <f t="shared" si="31"/>
        <v>122.35</v>
      </c>
      <c r="L40" s="2">
        <f t="shared" si="32"/>
        <v>-4.4499999999999886</v>
      </c>
      <c r="M40" s="2">
        <f t="shared" si="33"/>
        <v>3.7743850720949856</v>
      </c>
      <c r="O40">
        <v>11</v>
      </c>
      <c r="P40">
        <f t="shared" si="26"/>
        <v>117.9</v>
      </c>
      <c r="Q40">
        <f t="shared" si="34"/>
        <v>120.86666666666667</v>
      </c>
      <c r="R40">
        <f t="shared" si="36"/>
        <v>120.60000000000001</v>
      </c>
      <c r="S40">
        <f t="shared" si="37"/>
        <v>-2.7000000000000028</v>
      </c>
      <c r="T40">
        <f t="shared" si="35"/>
        <v>2.2900763358778651</v>
      </c>
      <c r="V40">
        <v>11</v>
      </c>
      <c r="W40">
        <f t="shared" si="27"/>
        <v>117.9</v>
      </c>
      <c r="X40">
        <f t="shared" si="38"/>
        <v>119.92500000000001</v>
      </c>
      <c r="Y40">
        <f t="shared" si="39"/>
        <v>119.425</v>
      </c>
      <c r="Z40">
        <f t="shared" si="40"/>
        <v>-1.5249999999999915</v>
      </c>
      <c r="AA40">
        <f t="shared" si="41"/>
        <v>1.2934690415606374</v>
      </c>
      <c r="AC40">
        <v>11</v>
      </c>
      <c r="AD40">
        <f t="shared" si="28"/>
        <v>117.9</v>
      </c>
      <c r="AE40">
        <f t="shared" si="42"/>
        <v>119.12</v>
      </c>
      <c r="AF40">
        <f t="shared" si="44"/>
        <v>119.51999999999998</v>
      </c>
      <c r="AG40">
        <f t="shared" si="43"/>
        <v>-1.6199999999999761</v>
      </c>
      <c r="AH40">
        <f t="shared" si="45"/>
        <v>1.3740458015266972</v>
      </c>
      <c r="AJ40">
        <v>11</v>
      </c>
      <c r="AK40">
        <f t="shared" si="29"/>
        <v>117.9</v>
      </c>
      <c r="AL40">
        <f t="shared" si="46"/>
        <v>119.24999999999999</v>
      </c>
      <c r="AM40">
        <f t="shared" si="47"/>
        <v>120.28333333333332</v>
      </c>
      <c r="AN40">
        <f t="shared" si="48"/>
        <v>-2.3833333333333115</v>
      </c>
      <c r="AO40">
        <f t="shared" si="49"/>
        <v>2.0214871359909341</v>
      </c>
    </row>
    <row r="41" spans="8:41" x14ac:dyDescent="0.35">
      <c r="H41" s="2">
        <v>12</v>
      </c>
      <c r="I41" s="2">
        <f t="shared" si="25"/>
        <v>126.6</v>
      </c>
      <c r="J41" s="2">
        <f t="shared" si="30"/>
        <v>122.25</v>
      </c>
      <c r="K41" s="2">
        <f t="shared" si="31"/>
        <v>120.1</v>
      </c>
      <c r="L41" s="2">
        <f t="shared" si="32"/>
        <v>6.5</v>
      </c>
      <c r="M41" s="2">
        <f t="shared" si="33"/>
        <v>5.1342812006319116</v>
      </c>
      <c r="O41">
        <v>12</v>
      </c>
      <c r="P41">
        <f t="shared" si="26"/>
        <v>126.6</v>
      </c>
      <c r="Q41">
        <f t="shared" si="34"/>
        <v>122.26666666666665</v>
      </c>
      <c r="R41">
        <f t="shared" si="36"/>
        <v>120.86666666666667</v>
      </c>
      <c r="S41">
        <f t="shared" si="37"/>
        <v>5.7333333333333201</v>
      </c>
      <c r="T41">
        <f t="shared" si="35"/>
        <v>4.5286993154291633</v>
      </c>
      <c r="V41">
        <v>12</v>
      </c>
      <c r="W41">
        <f t="shared" si="27"/>
        <v>126.6</v>
      </c>
      <c r="X41">
        <f t="shared" si="38"/>
        <v>122.30000000000001</v>
      </c>
      <c r="Y41">
        <f t="shared" si="39"/>
        <v>119.92500000000001</v>
      </c>
      <c r="Z41">
        <f t="shared" si="40"/>
        <v>6.6749999999999829</v>
      </c>
      <c r="AA41">
        <f t="shared" si="41"/>
        <v>5.2725118483412183</v>
      </c>
      <c r="AC41">
        <v>12</v>
      </c>
      <c r="AD41">
        <f t="shared" si="28"/>
        <v>126.6</v>
      </c>
      <c r="AE41">
        <f t="shared" si="42"/>
        <v>121.26000000000002</v>
      </c>
      <c r="AF41">
        <f t="shared" si="44"/>
        <v>119.12</v>
      </c>
      <c r="AG41">
        <f t="shared" si="43"/>
        <v>7.4799999999999898</v>
      </c>
      <c r="AH41">
        <f t="shared" si="45"/>
        <v>5.9083728278040999</v>
      </c>
      <c r="AJ41">
        <v>12</v>
      </c>
      <c r="AK41">
        <f t="shared" si="29"/>
        <v>126.6</v>
      </c>
      <c r="AL41">
        <f t="shared" si="46"/>
        <v>120.36666666666667</v>
      </c>
      <c r="AM41">
        <f t="shared" si="47"/>
        <v>119.24999999999999</v>
      </c>
      <c r="AN41">
        <f t="shared" si="48"/>
        <v>7.3500000000000085</v>
      </c>
      <c r="AO41">
        <f t="shared" si="49"/>
        <v>5.8056872037914768</v>
      </c>
    </row>
    <row r="42" spans="8:41" x14ac:dyDescent="0.35">
      <c r="H42" s="2">
        <v>13</v>
      </c>
      <c r="I42" s="2">
        <f t="shared" si="25"/>
        <v>127.4</v>
      </c>
      <c r="J42" s="2">
        <f t="shared" si="30"/>
        <v>127</v>
      </c>
      <c r="K42" s="2">
        <f t="shared" si="31"/>
        <v>122.25</v>
      </c>
      <c r="L42" s="2">
        <f t="shared" si="32"/>
        <v>5.1500000000000057</v>
      </c>
      <c r="M42" s="2">
        <f t="shared" si="33"/>
        <v>4.0423861852433323</v>
      </c>
      <c r="O42">
        <v>13</v>
      </c>
      <c r="P42">
        <f t="shared" si="26"/>
        <v>127.4</v>
      </c>
      <c r="Q42">
        <f t="shared" si="34"/>
        <v>123.96666666666665</v>
      </c>
      <c r="R42">
        <f t="shared" si="36"/>
        <v>122.26666666666665</v>
      </c>
      <c r="S42">
        <f t="shared" si="37"/>
        <v>5.1333333333333542</v>
      </c>
      <c r="T42">
        <f t="shared" si="35"/>
        <v>4.0293040293040452</v>
      </c>
      <c r="V42">
        <v>13</v>
      </c>
      <c r="W42">
        <f t="shared" si="27"/>
        <v>127.4</v>
      </c>
      <c r="X42">
        <f t="shared" si="38"/>
        <v>123.54999999999998</v>
      </c>
      <c r="Y42">
        <f t="shared" si="39"/>
        <v>122.30000000000001</v>
      </c>
      <c r="Z42">
        <f t="shared" si="40"/>
        <v>5.0999999999999943</v>
      </c>
      <c r="AA42">
        <f t="shared" si="41"/>
        <v>4.0031397174254275</v>
      </c>
      <c r="AC42">
        <v>13</v>
      </c>
      <c r="AD42">
        <f t="shared" si="28"/>
        <v>127.4</v>
      </c>
      <c r="AE42">
        <f t="shared" si="42"/>
        <v>123.32000000000001</v>
      </c>
      <c r="AF42">
        <f t="shared" si="44"/>
        <v>121.26000000000002</v>
      </c>
      <c r="AG42">
        <f t="shared" si="43"/>
        <v>6.1399999999999864</v>
      </c>
      <c r="AH42">
        <f t="shared" si="45"/>
        <v>4.8194662480376653</v>
      </c>
      <c r="AJ42">
        <v>13</v>
      </c>
      <c r="AK42">
        <f t="shared" si="29"/>
        <v>127.4</v>
      </c>
      <c r="AL42">
        <f t="shared" si="46"/>
        <v>122.28333333333335</v>
      </c>
      <c r="AM42">
        <f t="shared" si="47"/>
        <v>120.36666666666667</v>
      </c>
      <c r="AN42">
        <f t="shared" si="48"/>
        <v>7.0333333333333314</v>
      </c>
      <c r="AO42">
        <f t="shared" si="49"/>
        <v>5.52066980638409</v>
      </c>
    </row>
    <row r="43" spans="8:41" x14ac:dyDescent="0.35">
      <c r="H43" s="2">
        <v>14</v>
      </c>
      <c r="I43" s="2">
        <f t="shared" si="25"/>
        <v>124.5</v>
      </c>
      <c r="J43" s="2">
        <f t="shared" si="30"/>
        <v>125.95</v>
      </c>
      <c r="K43" s="2">
        <f t="shared" si="31"/>
        <v>127</v>
      </c>
      <c r="L43" s="2">
        <f t="shared" si="32"/>
        <v>-2.5</v>
      </c>
      <c r="M43" s="2">
        <f t="shared" si="33"/>
        <v>2.0080321285140563</v>
      </c>
      <c r="O43">
        <v>14</v>
      </c>
      <c r="P43">
        <f t="shared" si="26"/>
        <v>124.5</v>
      </c>
      <c r="Q43">
        <f t="shared" si="34"/>
        <v>126.16666666666667</v>
      </c>
      <c r="R43">
        <f t="shared" si="36"/>
        <v>123.96666666666665</v>
      </c>
      <c r="S43">
        <f t="shared" si="37"/>
        <v>0.53333333333334565</v>
      </c>
      <c r="T43">
        <f t="shared" si="35"/>
        <v>0.42838018741634187</v>
      </c>
      <c r="V43">
        <v>14</v>
      </c>
      <c r="W43">
        <f t="shared" si="27"/>
        <v>124.5</v>
      </c>
      <c r="X43">
        <f t="shared" si="38"/>
        <v>124.1</v>
      </c>
      <c r="Y43">
        <f t="shared" si="39"/>
        <v>123.54999999999998</v>
      </c>
      <c r="Z43">
        <f t="shared" si="40"/>
        <v>0.95000000000001705</v>
      </c>
      <c r="AA43">
        <f t="shared" si="41"/>
        <v>0.76305220883535507</v>
      </c>
      <c r="AC43">
        <v>14</v>
      </c>
      <c r="AD43">
        <f t="shared" si="28"/>
        <v>124.5</v>
      </c>
      <c r="AE43">
        <f t="shared" si="42"/>
        <v>123.73999999999998</v>
      </c>
      <c r="AF43">
        <f t="shared" si="44"/>
        <v>123.32000000000001</v>
      </c>
      <c r="AG43">
        <f t="shared" si="43"/>
        <v>1.1799999999999926</v>
      </c>
      <c r="AH43">
        <f t="shared" si="45"/>
        <v>0.94779116465862867</v>
      </c>
      <c r="AJ43">
        <v>14</v>
      </c>
      <c r="AK43">
        <f t="shared" si="29"/>
        <v>124.5</v>
      </c>
      <c r="AL43">
        <f t="shared" si="46"/>
        <v>123.51666666666667</v>
      </c>
      <c r="AM43">
        <f t="shared" si="47"/>
        <v>122.28333333333335</v>
      </c>
      <c r="AN43">
        <f t="shared" si="48"/>
        <v>2.2166666666666544</v>
      </c>
      <c r="AO43">
        <f t="shared" si="49"/>
        <v>1.78045515394912</v>
      </c>
    </row>
    <row r="44" spans="8:41" x14ac:dyDescent="0.35">
      <c r="H44" s="2">
        <v>15</v>
      </c>
      <c r="I44" s="2">
        <f t="shared" si="25"/>
        <v>129.5</v>
      </c>
      <c r="J44" s="2">
        <f t="shared" si="30"/>
        <v>127</v>
      </c>
      <c r="K44" s="2">
        <f t="shared" si="31"/>
        <v>125.95</v>
      </c>
      <c r="L44" s="2">
        <f t="shared" si="32"/>
        <v>3.5499999999999972</v>
      </c>
      <c r="M44" s="2">
        <f t="shared" si="33"/>
        <v>2.7413127413127394</v>
      </c>
      <c r="O44">
        <v>15</v>
      </c>
      <c r="P44">
        <f t="shared" si="26"/>
        <v>129.5</v>
      </c>
      <c r="Q44">
        <f t="shared" si="34"/>
        <v>127.13333333333333</v>
      </c>
      <c r="R44">
        <f t="shared" si="36"/>
        <v>126.16666666666667</v>
      </c>
      <c r="S44">
        <f t="shared" si="37"/>
        <v>3.3333333333333286</v>
      </c>
      <c r="T44">
        <f t="shared" si="35"/>
        <v>2.5740025740025705</v>
      </c>
      <c r="V44">
        <v>15</v>
      </c>
      <c r="W44">
        <f t="shared" si="27"/>
        <v>129.5</v>
      </c>
      <c r="X44">
        <f t="shared" si="38"/>
        <v>127</v>
      </c>
      <c r="Y44">
        <f t="shared" si="39"/>
        <v>124.1</v>
      </c>
      <c r="Z44">
        <f t="shared" si="40"/>
        <v>5.4000000000000057</v>
      </c>
      <c r="AA44">
        <f t="shared" si="41"/>
        <v>4.169884169884174</v>
      </c>
      <c r="AC44">
        <v>15</v>
      </c>
      <c r="AD44">
        <f t="shared" si="28"/>
        <v>129.5</v>
      </c>
      <c r="AE44">
        <f t="shared" si="42"/>
        <v>125.17999999999999</v>
      </c>
      <c r="AF44">
        <f t="shared" si="44"/>
        <v>123.73999999999998</v>
      </c>
      <c r="AG44">
        <f t="shared" si="43"/>
        <v>5.7600000000000193</v>
      </c>
      <c r="AH44">
        <f t="shared" si="45"/>
        <v>4.447876447876463</v>
      </c>
      <c r="AJ44">
        <v>15</v>
      </c>
      <c r="AK44">
        <f t="shared" si="29"/>
        <v>129.5</v>
      </c>
      <c r="AL44">
        <f t="shared" si="46"/>
        <v>124.69999999999999</v>
      </c>
      <c r="AM44">
        <f t="shared" si="47"/>
        <v>123.51666666666667</v>
      </c>
      <c r="AN44">
        <f t="shared" si="48"/>
        <v>5.9833333333333343</v>
      </c>
      <c r="AO44">
        <f t="shared" si="49"/>
        <v>4.6203346203346207</v>
      </c>
    </row>
    <row r="45" spans="8:41" x14ac:dyDescent="0.35">
      <c r="H45" s="2">
        <v>16</v>
      </c>
      <c r="I45" s="2">
        <f t="shared" si="25"/>
        <v>141</v>
      </c>
      <c r="J45" s="2">
        <f t="shared" si="30"/>
        <v>135.25</v>
      </c>
      <c r="K45" s="2">
        <f t="shared" si="31"/>
        <v>127</v>
      </c>
      <c r="L45" s="2">
        <f t="shared" si="32"/>
        <v>14</v>
      </c>
      <c r="M45" s="2">
        <f t="shared" si="33"/>
        <v>9.9290780141843982</v>
      </c>
      <c r="O45">
        <v>16</v>
      </c>
      <c r="P45">
        <f t="shared" si="26"/>
        <v>141</v>
      </c>
      <c r="Q45">
        <f t="shared" si="34"/>
        <v>131.66666666666666</v>
      </c>
      <c r="R45">
        <f t="shared" si="36"/>
        <v>127.13333333333333</v>
      </c>
      <c r="S45">
        <f t="shared" si="37"/>
        <v>13.866666666666674</v>
      </c>
      <c r="T45">
        <f t="shared" si="35"/>
        <v>9.8345153664302654</v>
      </c>
      <c r="V45">
        <v>16</v>
      </c>
      <c r="W45">
        <f t="shared" si="27"/>
        <v>141</v>
      </c>
      <c r="X45">
        <f t="shared" si="38"/>
        <v>130.6</v>
      </c>
      <c r="Y45">
        <f t="shared" si="39"/>
        <v>127</v>
      </c>
      <c r="Z45">
        <f t="shared" si="40"/>
        <v>14</v>
      </c>
      <c r="AA45">
        <f t="shared" si="41"/>
        <v>9.9290780141843982</v>
      </c>
      <c r="AC45">
        <v>16</v>
      </c>
      <c r="AD45">
        <f t="shared" si="28"/>
        <v>141</v>
      </c>
      <c r="AE45">
        <f t="shared" si="42"/>
        <v>129.80000000000001</v>
      </c>
      <c r="AF45">
        <f t="shared" si="44"/>
        <v>125.17999999999999</v>
      </c>
      <c r="AG45">
        <f t="shared" si="43"/>
        <v>15.820000000000007</v>
      </c>
      <c r="AH45">
        <f t="shared" si="45"/>
        <v>11.219858156028375</v>
      </c>
      <c r="AJ45">
        <v>16</v>
      </c>
      <c r="AK45">
        <f t="shared" si="29"/>
        <v>141</v>
      </c>
      <c r="AL45">
        <f t="shared" si="46"/>
        <v>127.81666666666666</v>
      </c>
      <c r="AM45">
        <f t="shared" si="47"/>
        <v>124.69999999999999</v>
      </c>
      <c r="AN45">
        <f t="shared" si="48"/>
        <v>16.300000000000011</v>
      </c>
      <c r="AO45">
        <f t="shared" si="49"/>
        <v>11.56028368794327</v>
      </c>
    </row>
    <row r="46" spans="8:41" x14ac:dyDescent="0.35">
      <c r="H46" s="2">
        <v>17</v>
      </c>
      <c r="I46" s="2">
        <f t="shared" si="25"/>
        <v>139.5</v>
      </c>
      <c r="J46" s="2">
        <f t="shared" si="30"/>
        <v>140.25</v>
      </c>
      <c r="K46" s="2">
        <f t="shared" si="31"/>
        <v>135.25</v>
      </c>
      <c r="L46" s="2">
        <f t="shared" si="32"/>
        <v>4.25</v>
      </c>
      <c r="M46" s="2">
        <f t="shared" si="33"/>
        <v>3.0465949820788532</v>
      </c>
      <c r="O46">
        <v>17</v>
      </c>
      <c r="P46">
        <f t="shared" si="26"/>
        <v>139.5</v>
      </c>
      <c r="Q46">
        <f t="shared" si="34"/>
        <v>136.66666666666666</v>
      </c>
      <c r="R46">
        <f t="shared" si="36"/>
        <v>131.66666666666666</v>
      </c>
      <c r="S46">
        <f t="shared" si="37"/>
        <v>7.8333333333333428</v>
      </c>
      <c r="T46">
        <f t="shared" si="35"/>
        <v>5.6152927120669123</v>
      </c>
      <c r="V46">
        <v>17</v>
      </c>
      <c r="W46">
        <f t="shared" si="27"/>
        <v>139.5</v>
      </c>
      <c r="X46">
        <f t="shared" si="38"/>
        <v>133.625</v>
      </c>
      <c r="Y46">
        <f t="shared" si="39"/>
        <v>130.6</v>
      </c>
      <c r="Z46">
        <f t="shared" si="40"/>
        <v>8.9000000000000057</v>
      </c>
      <c r="AA46">
        <f t="shared" si="41"/>
        <v>6.3799283154121911</v>
      </c>
      <c r="AC46">
        <v>17</v>
      </c>
      <c r="AD46">
        <f t="shared" si="28"/>
        <v>139.5</v>
      </c>
      <c r="AE46">
        <f t="shared" si="42"/>
        <v>132.38</v>
      </c>
      <c r="AF46">
        <f t="shared" si="44"/>
        <v>129.80000000000001</v>
      </c>
      <c r="AG46">
        <f t="shared" si="43"/>
        <v>9.6999999999999886</v>
      </c>
      <c r="AH46">
        <f t="shared" si="45"/>
        <v>6.9534050179211384</v>
      </c>
      <c r="AJ46">
        <v>17</v>
      </c>
      <c r="AK46">
        <f t="shared" si="29"/>
        <v>139.5</v>
      </c>
      <c r="AL46">
        <f t="shared" si="46"/>
        <v>131.41666666666666</v>
      </c>
      <c r="AM46">
        <f t="shared" si="47"/>
        <v>127.81666666666666</v>
      </c>
      <c r="AN46">
        <f t="shared" si="48"/>
        <v>11.683333333333337</v>
      </c>
      <c r="AO46">
        <f t="shared" si="49"/>
        <v>8.3751493428912802</v>
      </c>
    </row>
    <row r="47" spans="8:41" x14ac:dyDescent="0.35">
      <c r="H47" s="2">
        <v>18</v>
      </c>
      <c r="I47" s="2">
        <f t="shared" si="25"/>
        <v>135.6</v>
      </c>
      <c r="J47" s="2">
        <f t="shared" si="30"/>
        <v>137.55000000000001</v>
      </c>
      <c r="K47" s="2">
        <f t="shared" si="31"/>
        <v>140.25</v>
      </c>
      <c r="L47" s="2">
        <f t="shared" si="32"/>
        <v>-4.6500000000000057</v>
      </c>
      <c r="M47" s="2">
        <f t="shared" si="33"/>
        <v>3.4292035398230136</v>
      </c>
      <c r="O47">
        <v>18</v>
      </c>
      <c r="P47">
        <f t="shared" si="26"/>
        <v>135.6</v>
      </c>
      <c r="Q47">
        <f t="shared" si="34"/>
        <v>138.70000000000002</v>
      </c>
      <c r="R47">
        <f t="shared" si="36"/>
        <v>136.66666666666666</v>
      </c>
      <c r="S47">
        <f t="shared" si="37"/>
        <v>-1.0666666666666629</v>
      </c>
      <c r="T47">
        <f t="shared" si="35"/>
        <v>0.78662733529989892</v>
      </c>
      <c r="V47">
        <v>18</v>
      </c>
      <c r="W47">
        <f t="shared" si="27"/>
        <v>135.6</v>
      </c>
      <c r="X47">
        <f t="shared" si="38"/>
        <v>136.4</v>
      </c>
      <c r="Y47">
        <f t="shared" si="39"/>
        <v>133.625</v>
      </c>
      <c r="Z47">
        <f t="shared" si="40"/>
        <v>1.9749999999999943</v>
      </c>
      <c r="AA47">
        <f t="shared" si="41"/>
        <v>1.45648967551622</v>
      </c>
      <c r="AC47">
        <v>18</v>
      </c>
      <c r="AD47">
        <f t="shared" si="28"/>
        <v>135.6</v>
      </c>
      <c r="AE47">
        <f t="shared" si="42"/>
        <v>134.02000000000001</v>
      </c>
      <c r="AF47">
        <f t="shared" si="44"/>
        <v>132.38</v>
      </c>
      <c r="AG47">
        <f t="shared" si="43"/>
        <v>3.2199999999999989</v>
      </c>
      <c r="AH47">
        <f t="shared" si="45"/>
        <v>2.3746312684365773</v>
      </c>
      <c r="AJ47">
        <v>18</v>
      </c>
      <c r="AK47">
        <f t="shared" si="29"/>
        <v>135.6</v>
      </c>
      <c r="AL47">
        <f t="shared" si="46"/>
        <v>132.91666666666666</v>
      </c>
      <c r="AM47">
        <f t="shared" si="47"/>
        <v>131.41666666666666</v>
      </c>
      <c r="AN47">
        <f t="shared" si="48"/>
        <v>4.1833333333333371</v>
      </c>
      <c r="AO47">
        <f t="shared" si="49"/>
        <v>3.085054080629305</v>
      </c>
    </row>
    <row r="48" spans="8:41" x14ac:dyDescent="0.35">
      <c r="H48" s="2">
        <v>19</v>
      </c>
      <c r="I48" s="2">
        <f t="shared" si="25"/>
        <v>143.1</v>
      </c>
      <c r="J48" s="2">
        <f t="shared" si="30"/>
        <v>139.35</v>
      </c>
      <c r="K48" s="2">
        <f t="shared" si="31"/>
        <v>137.55000000000001</v>
      </c>
      <c r="L48" s="2">
        <f t="shared" si="32"/>
        <v>5.5499999999999829</v>
      </c>
      <c r="M48" s="2">
        <f t="shared" si="33"/>
        <v>3.8784067085953762</v>
      </c>
      <c r="O48">
        <v>19</v>
      </c>
      <c r="P48">
        <f t="shared" si="26"/>
        <v>143.1</v>
      </c>
      <c r="Q48">
        <f t="shared" si="34"/>
        <v>139.4</v>
      </c>
      <c r="R48">
        <f t="shared" si="36"/>
        <v>138.70000000000002</v>
      </c>
      <c r="S48">
        <f t="shared" si="37"/>
        <v>4.3999999999999773</v>
      </c>
      <c r="T48">
        <f t="shared" si="35"/>
        <v>3.074772886093625</v>
      </c>
      <c r="V48">
        <v>19</v>
      </c>
      <c r="W48">
        <f t="shared" si="27"/>
        <v>143.1</v>
      </c>
      <c r="X48">
        <f t="shared" si="38"/>
        <v>139.80000000000001</v>
      </c>
      <c r="Y48">
        <f t="shared" si="39"/>
        <v>136.4</v>
      </c>
      <c r="Z48">
        <f t="shared" si="40"/>
        <v>6.6999999999999886</v>
      </c>
      <c r="AA48">
        <f t="shared" si="41"/>
        <v>4.6820405310971269</v>
      </c>
      <c r="AC48">
        <v>19</v>
      </c>
      <c r="AD48">
        <f t="shared" si="28"/>
        <v>143.1</v>
      </c>
      <c r="AE48">
        <f t="shared" si="42"/>
        <v>137.74</v>
      </c>
      <c r="AF48">
        <f t="shared" si="44"/>
        <v>134.02000000000001</v>
      </c>
      <c r="AG48">
        <f t="shared" si="43"/>
        <v>9.0799999999999841</v>
      </c>
      <c r="AH48">
        <f t="shared" si="45"/>
        <v>6.3452131376659571</v>
      </c>
      <c r="AJ48">
        <v>19</v>
      </c>
      <c r="AK48">
        <f t="shared" si="29"/>
        <v>143.1</v>
      </c>
      <c r="AL48">
        <f t="shared" si="46"/>
        <v>135.53333333333333</v>
      </c>
      <c r="AM48">
        <f t="shared" si="47"/>
        <v>132.91666666666666</v>
      </c>
      <c r="AN48">
        <f t="shared" si="48"/>
        <v>10.183333333333337</v>
      </c>
      <c r="AO48">
        <f t="shared" si="49"/>
        <v>7.1162357325879375</v>
      </c>
    </row>
    <row r="49" spans="8:41" x14ac:dyDescent="0.35">
      <c r="H49" s="2">
        <v>20</v>
      </c>
      <c r="I49" s="2">
        <f t="shared" si="25"/>
        <v>146.9</v>
      </c>
      <c r="J49" s="2">
        <f t="shared" si="30"/>
        <v>145</v>
      </c>
      <c r="K49" s="2">
        <f t="shared" si="31"/>
        <v>139.35</v>
      </c>
      <c r="L49" s="2">
        <f t="shared" si="32"/>
        <v>7.5500000000000114</v>
      </c>
      <c r="M49" s="2">
        <f t="shared" si="33"/>
        <v>5.1395507147719615</v>
      </c>
      <c r="O49">
        <v>20</v>
      </c>
      <c r="P49">
        <f t="shared" si="26"/>
        <v>146.9</v>
      </c>
      <c r="Q49">
        <f t="shared" si="34"/>
        <v>141.86666666666667</v>
      </c>
      <c r="R49">
        <f t="shared" si="36"/>
        <v>139.4</v>
      </c>
      <c r="S49">
        <f t="shared" si="37"/>
        <v>7.5</v>
      </c>
      <c r="T49">
        <f t="shared" si="35"/>
        <v>5.1055139550714772</v>
      </c>
      <c r="V49">
        <v>20</v>
      </c>
      <c r="W49">
        <f t="shared" si="27"/>
        <v>146.9</v>
      </c>
      <c r="X49">
        <f t="shared" si="38"/>
        <v>141.27500000000001</v>
      </c>
      <c r="Y49">
        <f t="shared" si="39"/>
        <v>139.80000000000001</v>
      </c>
      <c r="Z49">
        <f t="shared" si="40"/>
        <v>7.0999999999999943</v>
      </c>
      <c r="AA49">
        <f t="shared" si="41"/>
        <v>4.8332198774676609</v>
      </c>
      <c r="AC49">
        <v>20</v>
      </c>
      <c r="AD49">
        <f t="shared" si="28"/>
        <v>146.9</v>
      </c>
      <c r="AE49">
        <f t="shared" si="42"/>
        <v>141.22</v>
      </c>
      <c r="AF49">
        <f t="shared" si="44"/>
        <v>137.74</v>
      </c>
      <c r="AG49">
        <f t="shared" si="43"/>
        <v>9.1599999999999966</v>
      </c>
      <c r="AH49">
        <f t="shared" si="45"/>
        <v>6.2355343771272951</v>
      </c>
      <c r="AJ49">
        <v>20</v>
      </c>
      <c r="AK49">
        <f t="shared" si="29"/>
        <v>146.9</v>
      </c>
      <c r="AL49">
        <f t="shared" si="46"/>
        <v>139.26666666666668</v>
      </c>
      <c r="AM49">
        <f t="shared" si="47"/>
        <v>135.53333333333333</v>
      </c>
      <c r="AN49">
        <f t="shared" si="48"/>
        <v>11.366666666666674</v>
      </c>
      <c r="AO49">
        <f t="shared" si="49"/>
        <v>7.7376900385749989</v>
      </c>
    </row>
    <row r="50" spans="8:41" x14ac:dyDescent="0.35">
      <c r="H50" s="2">
        <v>21</v>
      </c>
      <c r="I50" s="2">
        <f t="shared" si="25"/>
        <v>150.69999999999999</v>
      </c>
      <c r="J50" s="2">
        <f t="shared" si="30"/>
        <v>148.80000000000001</v>
      </c>
      <c r="K50" s="2">
        <f t="shared" si="31"/>
        <v>145</v>
      </c>
      <c r="L50" s="2">
        <f t="shared" si="32"/>
        <v>5.6999999999999886</v>
      </c>
      <c r="M50" s="2">
        <f t="shared" si="33"/>
        <v>3.7823490378234834</v>
      </c>
      <c r="O50">
        <v>21</v>
      </c>
      <c r="P50">
        <f t="shared" si="26"/>
        <v>150.69999999999999</v>
      </c>
      <c r="Q50">
        <f t="shared" si="34"/>
        <v>146.9</v>
      </c>
      <c r="R50">
        <f t="shared" si="36"/>
        <v>141.86666666666667</v>
      </c>
      <c r="S50">
        <f t="shared" si="37"/>
        <v>8.8333333333333144</v>
      </c>
      <c r="T50">
        <f t="shared" si="35"/>
        <v>5.8615350586153383</v>
      </c>
      <c r="V50">
        <v>21</v>
      </c>
      <c r="W50">
        <f t="shared" si="27"/>
        <v>150.69999999999999</v>
      </c>
      <c r="X50">
        <f t="shared" si="38"/>
        <v>144.07499999999999</v>
      </c>
      <c r="Y50">
        <f t="shared" si="39"/>
        <v>141.27500000000001</v>
      </c>
      <c r="Z50">
        <f t="shared" si="40"/>
        <v>9.4249999999999829</v>
      </c>
      <c r="AA50">
        <f t="shared" si="41"/>
        <v>6.2541473125414626</v>
      </c>
      <c r="AC50">
        <v>21</v>
      </c>
      <c r="AD50">
        <f t="shared" si="28"/>
        <v>150.69999999999999</v>
      </c>
      <c r="AE50">
        <f t="shared" si="42"/>
        <v>143.16</v>
      </c>
      <c r="AF50">
        <f t="shared" si="44"/>
        <v>141.22</v>
      </c>
      <c r="AG50">
        <f t="shared" si="43"/>
        <v>9.4799999999999898</v>
      </c>
      <c r="AH50">
        <f t="shared" si="45"/>
        <v>6.2906436629064295</v>
      </c>
      <c r="AJ50">
        <v>21</v>
      </c>
      <c r="AK50">
        <f t="shared" si="29"/>
        <v>150.69999999999999</v>
      </c>
      <c r="AL50">
        <f t="shared" si="46"/>
        <v>142.79999999999998</v>
      </c>
      <c r="AM50">
        <f t="shared" si="47"/>
        <v>139.26666666666668</v>
      </c>
      <c r="AN50">
        <f t="shared" si="48"/>
        <v>11.433333333333309</v>
      </c>
      <c r="AO50">
        <f t="shared" si="49"/>
        <v>7.5868170758681543</v>
      </c>
    </row>
    <row r="51" spans="8:41" x14ac:dyDescent="0.35">
      <c r="H51" s="2">
        <v>22</v>
      </c>
      <c r="I51" s="2">
        <f t="shared" si="25"/>
        <v>148.1</v>
      </c>
      <c r="J51" s="2">
        <f t="shared" si="30"/>
        <v>149.39999999999998</v>
      </c>
      <c r="K51" s="2">
        <f t="shared" si="31"/>
        <v>148.80000000000001</v>
      </c>
      <c r="L51" s="2">
        <f t="shared" si="32"/>
        <v>-0.70000000000001705</v>
      </c>
      <c r="M51" s="2">
        <f t="shared" si="33"/>
        <v>0.47265361242404935</v>
      </c>
      <c r="O51">
        <v>22</v>
      </c>
      <c r="P51">
        <f t="shared" si="26"/>
        <v>148.1</v>
      </c>
      <c r="Q51">
        <f t="shared" si="34"/>
        <v>148.56666666666669</v>
      </c>
      <c r="R51">
        <f t="shared" si="36"/>
        <v>146.9</v>
      </c>
      <c r="S51">
        <f t="shared" si="37"/>
        <v>1.1999999999999886</v>
      </c>
      <c r="T51">
        <f t="shared" si="35"/>
        <v>0.81026333558405716</v>
      </c>
      <c r="V51">
        <v>22</v>
      </c>
      <c r="W51">
        <f t="shared" si="27"/>
        <v>148.1</v>
      </c>
      <c r="X51">
        <f t="shared" si="38"/>
        <v>147.19999999999999</v>
      </c>
      <c r="Y51">
        <f t="shared" si="39"/>
        <v>144.07499999999999</v>
      </c>
      <c r="Z51">
        <f t="shared" si="40"/>
        <v>4.0250000000000057</v>
      </c>
      <c r="AA51">
        <f t="shared" si="41"/>
        <v>2.7177582714382216</v>
      </c>
      <c r="AC51">
        <v>22</v>
      </c>
      <c r="AD51">
        <f t="shared" si="28"/>
        <v>148.1</v>
      </c>
      <c r="AE51">
        <f t="shared" si="42"/>
        <v>144.88</v>
      </c>
      <c r="AF51">
        <f t="shared" si="44"/>
        <v>143.16</v>
      </c>
      <c r="AG51">
        <f t="shared" si="43"/>
        <v>4.9399999999999977</v>
      </c>
      <c r="AH51">
        <f t="shared" si="45"/>
        <v>3.3355840648210657</v>
      </c>
      <c r="AJ51">
        <v>22</v>
      </c>
      <c r="AK51">
        <f t="shared" si="29"/>
        <v>148.1</v>
      </c>
      <c r="AL51">
        <f t="shared" si="46"/>
        <v>143.98333333333332</v>
      </c>
      <c r="AM51">
        <f t="shared" si="47"/>
        <v>142.79999999999998</v>
      </c>
      <c r="AN51">
        <f t="shared" si="48"/>
        <v>5.3000000000000114</v>
      </c>
      <c r="AO51">
        <f t="shared" si="49"/>
        <v>3.5786630654962939</v>
      </c>
    </row>
    <row r="52" spans="8:41" x14ac:dyDescent="0.35">
      <c r="H52" s="2">
        <v>23</v>
      </c>
      <c r="I52" s="2">
        <f t="shared" si="25"/>
        <v>141.5</v>
      </c>
      <c r="J52" s="2">
        <f t="shared" si="30"/>
        <v>144.80000000000001</v>
      </c>
      <c r="K52" s="2">
        <f t="shared" si="31"/>
        <v>149.39999999999998</v>
      </c>
      <c r="L52" s="2">
        <f t="shared" si="32"/>
        <v>-7.8999999999999773</v>
      </c>
      <c r="M52" s="2">
        <f t="shared" si="33"/>
        <v>5.5830388692579342</v>
      </c>
      <c r="O52">
        <v>23</v>
      </c>
      <c r="P52">
        <f t="shared" si="26"/>
        <v>141.5</v>
      </c>
      <c r="Q52">
        <f t="shared" si="34"/>
        <v>146.76666666666665</v>
      </c>
      <c r="R52">
        <f t="shared" si="36"/>
        <v>148.56666666666669</v>
      </c>
      <c r="S52">
        <f t="shared" si="37"/>
        <v>-7.0666666666666913</v>
      </c>
      <c r="T52">
        <f t="shared" si="35"/>
        <v>4.9941107184923617</v>
      </c>
      <c r="V52">
        <v>23</v>
      </c>
      <c r="W52">
        <f t="shared" si="27"/>
        <v>141.5</v>
      </c>
      <c r="X52">
        <f t="shared" si="38"/>
        <v>146.80000000000001</v>
      </c>
      <c r="Y52">
        <f t="shared" si="39"/>
        <v>147.19999999999999</v>
      </c>
      <c r="Z52">
        <f t="shared" si="40"/>
        <v>-5.6999999999999886</v>
      </c>
      <c r="AA52">
        <f t="shared" si="41"/>
        <v>4.0282685512367413</v>
      </c>
      <c r="AC52">
        <v>23</v>
      </c>
      <c r="AD52">
        <f t="shared" si="28"/>
        <v>141.5</v>
      </c>
      <c r="AE52">
        <f t="shared" si="42"/>
        <v>146.06</v>
      </c>
      <c r="AF52">
        <f t="shared" si="44"/>
        <v>144.88</v>
      </c>
      <c r="AG52">
        <f t="shared" si="43"/>
        <v>-3.3799999999999955</v>
      </c>
      <c r="AH52">
        <f t="shared" si="45"/>
        <v>2.3886925795052969</v>
      </c>
      <c r="AJ52">
        <v>23</v>
      </c>
      <c r="AK52">
        <f t="shared" si="29"/>
        <v>141.5</v>
      </c>
      <c r="AL52">
        <f t="shared" si="46"/>
        <v>144.31666666666666</v>
      </c>
      <c r="AM52">
        <f t="shared" si="47"/>
        <v>143.98333333333332</v>
      </c>
      <c r="AN52">
        <f t="shared" si="48"/>
        <v>-2.4833333333333201</v>
      </c>
      <c r="AO52">
        <f t="shared" si="49"/>
        <v>1.7550058892814981</v>
      </c>
    </row>
    <row r="53" spans="8:41" x14ac:dyDescent="0.35">
      <c r="H53" s="2">
        <v>24</v>
      </c>
      <c r="I53" s="2">
        <f t="shared" si="25"/>
        <v>146.9</v>
      </c>
      <c r="J53" s="2">
        <f t="shared" si="30"/>
        <v>144.19999999999999</v>
      </c>
      <c r="K53" s="2">
        <f t="shared" si="31"/>
        <v>144.80000000000001</v>
      </c>
      <c r="L53" s="2">
        <f t="shared" si="32"/>
        <v>2.0999999999999943</v>
      </c>
      <c r="M53" s="2">
        <f t="shared" si="33"/>
        <v>1.4295439074200098</v>
      </c>
      <c r="O53">
        <v>24</v>
      </c>
      <c r="P53">
        <f t="shared" si="26"/>
        <v>146.9</v>
      </c>
      <c r="Q53">
        <f t="shared" si="34"/>
        <v>145.5</v>
      </c>
      <c r="R53">
        <f t="shared" si="36"/>
        <v>146.76666666666665</v>
      </c>
      <c r="S53">
        <f t="shared" si="37"/>
        <v>0.13333333333335418</v>
      </c>
      <c r="T53">
        <f t="shared" si="35"/>
        <v>9.0764692534618233E-2</v>
      </c>
      <c r="V53">
        <v>24</v>
      </c>
      <c r="W53">
        <f t="shared" si="27"/>
        <v>146.9</v>
      </c>
      <c r="X53">
        <f t="shared" si="38"/>
        <v>146.79999999999998</v>
      </c>
      <c r="Y53">
        <f t="shared" si="39"/>
        <v>146.80000000000001</v>
      </c>
      <c r="Z53">
        <f t="shared" si="40"/>
        <v>9.9999999999994316E-2</v>
      </c>
      <c r="AA53">
        <f t="shared" si="41"/>
        <v>6.8073519400949148E-2</v>
      </c>
      <c r="AC53">
        <v>24</v>
      </c>
      <c r="AD53">
        <f t="shared" si="28"/>
        <v>146.9</v>
      </c>
      <c r="AE53">
        <f t="shared" si="42"/>
        <v>146.82</v>
      </c>
      <c r="AF53">
        <f t="shared" si="44"/>
        <v>146.06</v>
      </c>
      <c r="AG53">
        <f t="shared" si="43"/>
        <v>0.84000000000000341</v>
      </c>
      <c r="AH53">
        <f t="shared" si="45"/>
        <v>0.57181756296800779</v>
      </c>
      <c r="AJ53">
        <v>24</v>
      </c>
      <c r="AK53">
        <f t="shared" si="29"/>
        <v>146.9</v>
      </c>
      <c r="AL53">
        <f t="shared" si="46"/>
        <v>146.19999999999999</v>
      </c>
      <c r="AM53">
        <f t="shared" si="47"/>
        <v>144.31666666666666</v>
      </c>
      <c r="AN53">
        <f t="shared" si="48"/>
        <v>2.5833333333333428</v>
      </c>
      <c r="AO53">
        <f t="shared" si="49"/>
        <v>1.7585659178579596</v>
      </c>
    </row>
    <row r="54" spans="8:41" x14ac:dyDescent="0.35">
      <c r="H54" s="2" t="s">
        <v>3</v>
      </c>
      <c r="I54" s="2"/>
      <c r="J54" s="2"/>
      <c r="K54" s="2"/>
      <c r="L54" s="2"/>
      <c r="M54" s="2">
        <f>AVERAGE(M32:M53)</f>
        <v>3.3788651793964593</v>
      </c>
      <c r="O54" t="s">
        <v>3</v>
      </c>
      <c r="T54">
        <f>AVERAGE(T33:T53)</f>
        <v>3.4196859941536477</v>
      </c>
      <c r="V54" t="s">
        <v>3</v>
      </c>
      <c r="AA54">
        <f>AVERAGE(AA34:AA53)</f>
        <v>3.5282823918979296</v>
      </c>
      <c r="AC54" t="s">
        <v>3</v>
      </c>
      <c r="AH54">
        <f>AVERAGE(AH35:AH53)</f>
        <v>3.939179918941099</v>
      </c>
      <c r="AJ54" t="s">
        <v>3</v>
      </c>
      <c r="AO54">
        <f>AVERAGE(AO34:AO53)</f>
        <v>4.6201176288738388</v>
      </c>
    </row>
    <row r="55" spans="8:41" x14ac:dyDescent="0.35">
      <c r="H55" s="2" t="s">
        <v>6</v>
      </c>
      <c r="I55" s="2">
        <v>2</v>
      </c>
      <c r="J55" s="2"/>
      <c r="K55" s="2"/>
      <c r="L55" s="2"/>
      <c r="M55" s="2"/>
      <c r="O55" t="s">
        <v>6</v>
      </c>
      <c r="P55">
        <v>3</v>
      </c>
      <c r="V55" t="s">
        <v>6</v>
      </c>
      <c r="W55">
        <v>4</v>
      </c>
      <c r="AC55" t="s">
        <v>6</v>
      </c>
      <c r="AD55">
        <v>5</v>
      </c>
      <c r="AJ55" t="s">
        <v>6</v>
      </c>
      <c r="AK5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91A5-CB37-485D-B835-BB2A2BA137E5}">
  <dimension ref="A1:BC55"/>
  <sheetViews>
    <sheetView zoomScale="43" workbookViewId="0">
      <selection activeCell="AR53" sqref="AR53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1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7</v>
      </c>
      <c r="O1" t="s">
        <v>8</v>
      </c>
      <c r="Q1" t="s">
        <v>0</v>
      </c>
      <c r="R1" t="s">
        <v>1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7</v>
      </c>
      <c r="Y1" t="s">
        <v>8</v>
      </c>
      <c r="AA1" t="s">
        <v>0</v>
      </c>
      <c r="AB1" t="s">
        <v>1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7</v>
      </c>
      <c r="AI1" t="s">
        <v>8</v>
      </c>
      <c r="AK1" s="3" t="s">
        <v>0</v>
      </c>
      <c r="AL1" s="3" t="s">
        <v>1</v>
      </c>
      <c r="AM1" s="3" t="s">
        <v>9</v>
      </c>
      <c r="AN1" s="3" t="s">
        <v>10</v>
      </c>
      <c r="AO1" s="3" t="s">
        <v>11</v>
      </c>
      <c r="AP1" s="3" t="s">
        <v>12</v>
      </c>
      <c r="AQ1" s="3" t="s">
        <v>13</v>
      </c>
      <c r="AR1" s="3" t="s">
        <v>7</v>
      </c>
      <c r="AS1" s="3" t="s">
        <v>8</v>
      </c>
      <c r="AU1" t="s">
        <v>0</v>
      </c>
      <c r="AV1" t="s">
        <v>1</v>
      </c>
      <c r="AW1" t="s">
        <v>9</v>
      </c>
      <c r="AX1" t="s">
        <v>10</v>
      </c>
      <c r="AY1" t="s">
        <v>11</v>
      </c>
      <c r="AZ1" t="s">
        <v>12</v>
      </c>
      <c r="BA1" t="s">
        <v>13</v>
      </c>
      <c r="BB1" t="s">
        <v>7</v>
      </c>
      <c r="BC1" t="s">
        <v>8</v>
      </c>
    </row>
    <row r="2" spans="1:55" x14ac:dyDescent="0.35">
      <c r="A2">
        <v>1</v>
      </c>
      <c r="B2">
        <v>25</v>
      </c>
      <c r="D2">
        <v>1</v>
      </c>
      <c r="E2">
        <v>92.8</v>
      </c>
      <c r="G2">
        <v>1</v>
      </c>
      <c r="H2">
        <f>B2+36</f>
        <v>61</v>
      </c>
      <c r="Q2">
        <v>1</v>
      </c>
      <c r="R2">
        <f>B2+36</f>
        <v>61</v>
      </c>
      <c r="AA2">
        <v>1</v>
      </c>
      <c r="AB2">
        <f>B2+36</f>
        <v>61</v>
      </c>
      <c r="AK2" s="2">
        <v>1</v>
      </c>
      <c r="AL2" s="2">
        <f>B2+36</f>
        <v>61</v>
      </c>
      <c r="AM2" s="2"/>
      <c r="AN2" s="2"/>
      <c r="AO2" s="2"/>
      <c r="AP2" s="2"/>
      <c r="AQ2" s="2"/>
      <c r="AR2" s="2"/>
      <c r="AS2" s="2"/>
      <c r="AU2">
        <v>1</v>
      </c>
      <c r="AV2">
        <f>B2+36</f>
        <v>61</v>
      </c>
    </row>
    <row r="3" spans="1:55" x14ac:dyDescent="0.35">
      <c r="A3">
        <v>2</v>
      </c>
      <c r="B3">
        <v>0</v>
      </c>
      <c r="D3">
        <v>2</v>
      </c>
      <c r="E3">
        <v>79.2</v>
      </c>
      <c r="G3">
        <v>2</v>
      </c>
      <c r="H3">
        <f t="shared" ref="H3:H25" si="0">B3+36</f>
        <v>36</v>
      </c>
      <c r="I3">
        <f>AVERAGE(H2:H3)</f>
        <v>48.5</v>
      </c>
      <c r="Q3">
        <v>2</v>
      </c>
      <c r="R3">
        <f t="shared" ref="R3:R25" si="1">B3+36</f>
        <v>36</v>
      </c>
      <c r="AA3">
        <v>2</v>
      </c>
      <c r="AB3">
        <f t="shared" ref="AB3:AB25" si="2">B3+36</f>
        <v>36</v>
      </c>
      <c r="AK3" s="2">
        <v>2</v>
      </c>
      <c r="AL3" s="2">
        <f t="shared" ref="AL3:AL25" si="3">B3+36</f>
        <v>36</v>
      </c>
      <c r="AM3" s="2"/>
      <c r="AN3" s="2"/>
      <c r="AO3" s="2"/>
      <c r="AP3" s="2"/>
      <c r="AQ3" s="2"/>
      <c r="AR3" s="2"/>
      <c r="AS3" s="2"/>
      <c r="AU3">
        <v>2</v>
      </c>
      <c r="AV3">
        <f t="shared" ref="AV3:AV25" si="4">B3+36</f>
        <v>36</v>
      </c>
    </row>
    <row r="4" spans="1:55" x14ac:dyDescent="0.35">
      <c r="A4">
        <v>3</v>
      </c>
      <c r="B4">
        <v>15</v>
      </c>
      <c r="D4">
        <v>3</v>
      </c>
      <c r="E4">
        <v>84.5</v>
      </c>
      <c r="G4">
        <v>3</v>
      </c>
      <c r="H4">
        <f t="shared" si="0"/>
        <v>51</v>
      </c>
      <c r="I4">
        <f t="shared" ref="I4:J25" si="5">AVERAGE(H3:H4)</f>
        <v>43.5</v>
      </c>
      <c r="J4">
        <f>AVERAGE(I3:I4)</f>
        <v>46</v>
      </c>
      <c r="K4">
        <f>(2*I4)-J4</f>
        <v>41</v>
      </c>
      <c r="L4">
        <f>2*(I4-J4)</f>
        <v>-5</v>
      </c>
      <c r="M4">
        <f>K4+L4</f>
        <v>36</v>
      </c>
      <c r="N4">
        <f>H5-M4</f>
        <v>10</v>
      </c>
      <c r="O4">
        <f>(ABS(N4)/H5)*100</f>
        <v>21.739130434782609</v>
      </c>
      <c r="Q4">
        <v>3</v>
      </c>
      <c r="R4">
        <f t="shared" si="1"/>
        <v>51</v>
      </c>
      <c r="S4">
        <f>AVERAGE(R2:R4)</f>
        <v>49.333333333333336</v>
      </c>
      <c r="AA4">
        <v>3</v>
      </c>
      <c r="AB4">
        <f t="shared" si="2"/>
        <v>51</v>
      </c>
      <c r="AK4" s="2">
        <v>3</v>
      </c>
      <c r="AL4" s="2">
        <f t="shared" si="3"/>
        <v>51</v>
      </c>
      <c r="AM4" s="2"/>
      <c r="AN4" s="2"/>
      <c r="AO4" s="2"/>
      <c r="AP4" s="2"/>
      <c r="AQ4" s="2"/>
      <c r="AR4" s="2"/>
      <c r="AS4" s="2"/>
      <c r="AU4">
        <v>3</v>
      </c>
      <c r="AV4">
        <f t="shared" si="4"/>
        <v>51</v>
      </c>
    </row>
    <row r="5" spans="1:55" x14ac:dyDescent="0.35">
      <c r="A5">
        <v>4</v>
      </c>
      <c r="B5">
        <v>10</v>
      </c>
      <c r="D5">
        <v>4</v>
      </c>
      <c r="E5">
        <v>83</v>
      </c>
      <c r="G5">
        <v>4</v>
      </c>
      <c r="H5">
        <f t="shared" si="0"/>
        <v>46</v>
      </c>
      <c r="I5">
        <f t="shared" si="5"/>
        <v>48.5</v>
      </c>
      <c r="J5">
        <f t="shared" si="5"/>
        <v>46</v>
      </c>
      <c r="K5">
        <f t="shared" ref="K5:K25" si="6">(2*I5)-J5</f>
        <v>51</v>
      </c>
      <c r="L5">
        <f t="shared" ref="L5:L25" si="7">2*(I5-J5)</f>
        <v>5</v>
      </c>
      <c r="M5">
        <f t="shared" ref="M5:M25" si="8">K5+L5</f>
        <v>56</v>
      </c>
      <c r="N5">
        <f t="shared" ref="N5:N24" si="9">H6-M5</f>
        <v>0</v>
      </c>
      <c r="O5">
        <f t="shared" ref="O5:O24" si="10">(ABS(N5)/H6)*100</f>
        <v>0</v>
      </c>
      <c r="Q5">
        <v>4</v>
      </c>
      <c r="R5">
        <f t="shared" si="1"/>
        <v>46</v>
      </c>
      <c r="S5">
        <f t="shared" ref="S5:T25" si="11">AVERAGE(R3:R5)</f>
        <v>44.333333333333336</v>
      </c>
      <c r="AA5">
        <v>4</v>
      </c>
      <c r="AB5">
        <f t="shared" si="2"/>
        <v>46</v>
      </c>
      <c r="AC5">
        <f>AVERAGE(AB2:AB5)</f>
        <v>48.5</v>
      </c>
      <c r="AK5" s="2">
        <v>4</v>
      </c>
      <c r="AL5" s="2">
        <f t="shared" si="3"/>
        <v>46</v>
      </c>
      <c r="AM5" s="2"/>
      <c r="AN5" s="2"/>
      <c r="AO5" s="2"/>
      <c r="AP5" s="2"/>
      <c r="AQ5" s="2"/>
      <c r="AR5" s="2"/>
      <c r="AS5" s="2"/>
      <c r="AU5">
        <v>4</v>
      </c>
      <c r="AV5">
        <f t="shared" si="4"/>
        <v>46</v>
      </c>
    </row>
    <row r="6" spans="1:55" x14ac:dyDescent="0.35">
      <c r="A6">
        <v>5</v>
      </c>
      <c r="B6">
        <v>20</v>
      </c>
      <c r="D6">
        <v>5</v>
      </c>
      <c r="E6">
        <v>88.1</v>
      </c>
      <c r="G6">
        <v>5</v>
      </c>
      <c r="H6">
        <f t="shared" si="0"/>
        <v>56</v>
      </c>
      <c r="I6">
        <f t="shared" si="5"/>
        <v>51</v>
      </c>
      <c r="J6">
        <f t="shared" si="5"/>
        <v>49.75</v>
      </c>
      <c r="K6">
        <f t="shared" si="6"/>
        <v>52.25</v>
      </c>
      <c r="L6">
        <f t="shared" si="7"/>
        <v>2.5</v>
      </c>
      <c r="M6">
        <f t="shared" si="8"/>
        <v>54.75</v>
      </c>
      <c r="N6">
        <f t="shared" si="9"/>
        <v>-8.75</v>
      </c>
      <c r="O6">
        <f t="shared" si="10"/>
        <v>19.021739130434785</v>
      </c>
      <c r="Q6">
        <v>5</v>
      </c>
      <c r="R6">
        <f t="shared" si="1"/>
        <v>56</v>
      </c>
      <c r="S6">
        <f t="shared" si="11"/>
        <v>51</v>
      </c>
      <c r="T6">
        <f>AVERAGE(S4:S6)</f>
        <v>48.222222222222229</v>
      </c>
      <c r="U6">
        <f>(2*S6)-T6</f>
        <v>53.777777777777771</v>
      </c>
      <c r="V6">
        <f>2*(S6-T6)</f>
        <v>5.5555555555555429</v>
      </c>
      <c r="W6">
        <f t="shared" ref="W6:W25" si="12">U6+V6</f>
        <v>59.333333333333314</v>
      </c>
      <c r="X6">
        <f>R7-W6</f>
        <v>-13.333333333333314</v>
      </c>
      <c r="Y6">
        <f>(ABS(X6)/R7)*100</f>
        <v>28.98550724637677</v>
      </c>
      <c r="AA6">
        <v>5</v>
      </c>
      <c r="AB6">
        <f t="shared" si="2"/>
        <v>56</v>
      </c>
      <c r="AC6">
        <f>AVERAGE(AB3:AB6)</f>
        <v>47.25</v>
      </c>
      <c r="AK6" s="2">
        <v>5</v>
      </c>
      <c r="AL6" s="2">
        <f t="shared" si="3"/>
        <v>56</v>
      </c>
      <c r="AM6" s="2">
        <f>AVERAGE(AL2:AL6)</f>
        <v>50</v>
      </c>
      <c r="AN6" s="2"/>
      <c r="AO6" s="2"/>
      <c r="AP6" s="2"/>
      <c r="AQ6" s="2"/>
      <c r="AR6" s="2"/>
      <c r="AS6" s="2"/>
      <c r="AU6">
        <v>5</v>
      </c>
      <c r="AV6">
        <f t="shared" si="4"/>
        <v>56</v>
      </c>
    </row>
    <row r="7" spans="1:55" x14ac:dyDescent="0.35">
      <c r="A7">
        <v>6</v>
      </c>
      <c r="B7">
        <v>10</v>
      </c>
      <c r="D7">
        <v>6</v>
      </c>
      <c r="E7">
        <v>83.9</v>
      </c>
      <c r="G7">
        <v>6</v>
      </c>
      <c r="H7">
        <f t="shared" si="0"/>
        <v>46</v>
      </c>
      <c r="I7">
        <f t="shared" si="5"/>
        <v>51</v>
      </c>
      <c r="J7">
        <f t="shared" si="5"/>
        <v>51</v>
      </c>
      <c r="K7">
        <f t="shared" si="6"/>
        <v>51</v>
      </c>
      <c r="L7">
        <f t="shared" si="7"/>
        <v>0</v>
      </c>
      <c r="M7">
        <f t="shared" si="8"/>
        <v>51</v>
      </c>
      <c r="N7">
        <f t="shared" si="9"/>
        <v>-10</v>
      </c>
      <c r="O7">
        <f t="shared" si="10"/>
        <v>24.390243902439025</v>
      </c>
      <c r="Q7">
        <v>6</v>
      </c>
      <c r="R7">
        <f t="shared" si="1"/>
        <v>46</v>
      </c>
      <c r="S7">
        <f t="shared" si="11"/>
        <v>49.333333333333336</v>
      </c>
      <c r="T7">
        <f t="shared" si="11"/>
        <v>48.222222222222229</v>
      </c>
      <c r="U7">
        <f t="shared" ref="U7:U25" si="13">(2*S7)-T7</f>
        <v>50.444444444444443</v>
      </c>
      <c r="V7">
        <f t="shared" ref="V7:V25" si="14">2*(S7-T7)</f>
        <v>2.2222222222222143</v>
      </c>
      <c r="W7">
        <f t="shared" si="12"/>
        <v>52.666666666666657</v>
      </c>
      <c r="X7">
        <f t="shared" ref="X7:X24" si="15">R8-W7</f>
        <v>-11.666666666666657</v>
      </c>
      <c r="Y7">
        <f t="shared" ref="Y7:Y24" si="16">(ABS(X7)/R8)*100</f>
        <v>28.455284552845505</v>
      </c>
      <c r="AA7">
        <v>6</v>
      </c>
      <c r="AB7">
        <f t="shared" si="2"/>
        <v>46</v>
      </c>
      <c r="AC7">
        <f t="shared" ref="AC7:AD25" si="17">AVERAGE(AB4:AB7)</f>
        <v>49.75</v>
      </c>
      <c r="AK7" s="2">
        <v>6</v>
      </c>
      <c r="AL7" s="2">
        <f t="shared" si="3"/>
        <v>46</v>
      </c>
      <c r="AM7" s="2">
        <f t="shared" ref="AM7:AN25" si="18">AVERAGE(AL3:AL7)</f>
        <v>47</v>
      </c>
      <c r="AN7" s="2"/>
      <c r="AO7" s="2"/>
      <c r="AP7" s="2"/>
      <c r="AQ7" s="2"/>
      <c r="AR7" s="2"/>
      <c r="AS7" s="2"/>
      <c r="AU7">
        <v>6</v>
      </c>
      <c r="AV7">
        <f t="shared" si="4"/>
        <v>46</v>
      </c>
      <c r="AW7">
        <f>AVERAGE(AV2:AV7)</f>
        <v>49.333333333333336</v>
      </c>
    </row>
    <row r="8" spans="1:55" x14ac:dyDescent="0.35">
      <c r="A8">
        <v>7</v>
      </c>
      <c r="B8">
        <v>5</v>
      </c>
      <c r="D8">
        <v>7</v>
      </c>
      <c r="E8">
        <v>79.900000000000006</v>
      </c>
      <c r="G8">
        <v>7</v>
      </c>
      <c r="H8">
        <f t="shared" si="0"/>
        <v>41</v>
      </c>
      <c r="I8">
        <f t="shared" si="5"/>
        <v>43.5</v>
      </c>
      <c r="J8">
        <f t="shared" si="5"/>
        <v>47.25</v>
      </c>
      <c r="K8">
        <f t="shared" si="6"/>
        <v>39.75</v>
      </c>
      <c r="L8">
        <f t="shared" si="7"/>
        <v>-7.5</v>
      </c>
      <c r="M8">
        <f t="shared" si="8"/>
        <v>32.25</v>
      </c>
      <c r="N8">
        <f t="shared" si="9"/>
        <v>8.75</v>
      </c>
      <c r="O8">
        <f t="shared" si="10"/>
        <v>21.341463414634145</v>
      </c>
      <c r="Q8">
        <v>7</v>
      </c>
      <c r="R8">
        <f t="shared" si="1"/>
        <v>41</v>
      </c>
      <c r="S8">
        <f t="shared" si="11"/>
        <v>47.666666666666664</v>
      </c>
      <c r="T8">
        <f t="shared" si="11"/>
        <v>49.333333333333336</v>
      </c>
      <c r="U8">
        <f t="shared" si="13"/>
        <v>45.999999999999993</v>
      </c>
      <c r="V8">
        <f t="shared" si="14"/>
        <v>-3.3333333333333428</v>
      </c>
      <c r="W8">
        <f t="shared" si="12"/>
        <v>42.66666666666665</v>
      </c>
      <c r="X8">
        <f t="shared" si="15"/>
        <v>-1.6666666666666501</v>
      </c>
      <c r="Y8">
        <f t="shared" si="16"/>
        <v>4.0650406504064636</v>
      </c>
      <c r="AA8">
        <v>7</v>
      </c>
      <c r="AB8">
        <f t="shared" si="2"/>
        <v>41</v>
      </c>
      <c r="AC8">
        <f t="shared" si="17"/>
        <v>47.25</v>
      </c>
      <c r="AD8">
        <f>AVERAGE(AC5:AC8)</f>
        <v>48.1875</v>
      </c>
      <c r="AE8">
        <f t="shared" ref="AE8:AE25" si="19">(2*AC8)-AD8</f>
        <v>46.3125</v>
      </c>
      <c r="AF8">
        <f t="shared" ref="AF8:AF25" si="20">2*(AC8-AD8)</f>
        <v>-1.875</v>
      </c>
      <c r="AG8">
        <f t="shared" ref="AG8:AG25" si="21">AE8+AF8</f>
        <v>44.4375</v>
      </c>
      <c r="AH8">
        <f>AB9-AG8</f>
        <v>-3.4375</v>
      </c>
      <c r="AI8">
        <f>(ABS(AH8)/AB9)*100</f>
        <v>8.3841463414634152</v>
      </c>
      <c r="AK8" s="2">
        <v>7</v>
      </c>
      <c r="AL8" s="2">
        <f t="shared" si="3"/>
        <v>41</v>
      </c>
      <c r="AM8" s="2">
        <f t="shared" si="18"/>
        <v>48</v>
      </c>
      <c r="AN8" s="2"/>
      <c r="AO8" s="2"/>
      <c r="AP8" s="2"/>
      <c r="AQ8" s="2"/>
      <c r="AR8" s="2"/>
      <c r="AS8" s="2"/>
      <c r="AU8">
        <v>7</v>
      </c>
      <c r="AV8">
        <f t="shared" si="4"/>
        <v>41</v>
      </c>
      <c r="AW8">
        <f t="shared" ref="AW8:AX25" si="22">AVERAGE(AV3:AV8)</f>
        <v>46</v>
      </c>
    </row>
    <row r="9" spans="1:55" x14ac:dyDescent="0.35">
      <c r="A9">
        <v>8</v>
      </c>
      <c r="B9">
        <v>5</v>
      </c>
      <c r="D9">
        <v>8</v>
      </c>
      <c r="E9">
        <v>81.099999999999994</v>
      </c>
      <c r="G9">
        <v>8</v>
      </c>
      <c r="H9">
        <f t="shared" si="0"/>
        <v>41</v>
      </c>
      <c r="I9">
        <f t="shared" si="5"/>
        <v>41</v>
      </c>
      <c r="J9">
        <f t="shared" si="5"/>
        <v>42.25</v>
      </c>
      <c r="K9">
        <f t="shared" si="6"/>
        <v>39.75</v>
      </c>
      <c r="L9">
        <f t="shared" si="7"/>
        <v>-2.5</v>
      </c>
      <c r="M9">
        <f t="shared" si="8"/>
        <v>37.25</v>
      </c>
      <c r="N9">
        <f t="shared" si="9"/>
        <v>13.75</v>
      </c>
      <c r="O9">
        <f t="shared" si="10"/>
        <v>26.96078431372549</v>
      </c>
      <c r="Q9">
        <v>8</v>
      </c>
      <c r="R9">
        <f t="shared" si="1"/>
        <v>41</v>
      </c>
      <c r="S9">
        <f t="shared" si="11"/>
        <v>42.666666666666664</v>
      </c>
      <c r="T9">
        <f t="shared" si="11"/>
        <v>46.55555555555555</v>
      </c>
      <c r="U9">
        <f t="shared" si="13"/>
        <v>38.777777777777779</v>
      </c>
      <c r="V9">
        <f t="shared" si="14"/>
        <v>-7.7777777777777715</v>
      </c>
      <c r="W9">
        <f t="shared" si="12"/>
        <v>31.000000000000007</v>
      </c>
      <c r="X9">
        <f t="shared" si="15"/>
        <v>19.999999999999993</v>
      </c>
      <c r="Y9">
        <f t="shared" si="16"/>
        <v>39.215686274509792</v>
      </c>
      <c r="AA9">
        <v>8</v>
      </c>
      <c r="AB9">
        <f t="shared" si="2"/>
        <v>41</v>
      </c>
      <c r="AC9">
        <f t="shared" si="17"/>
        <v>46</v>
      </c>
      <c r="AD9">
        <f t="shared" si="17"/>
        <v>47.5625</v>
      </c>
      <c r="AE9">
        <f t="shared" si="19"/>
        <v>44.4375</v>
      </c>
      <c r="AF9">
        <f t="shared" si="20"/>
        <v>-3.125</v>
      </c>
      <c r="AG9">
        <f t="shared" si="21"/>
        <v>41.3125</v>
      </c>
      <c r="AH9">
        <f t="shared" ref="AH9:AH24" si="23">AB10-AG9</f>
        <v>9.6875</v>
      </c>
      <c r="AI9">
        <f t="shared" ref="AI9:AI24" si="24">(ABS(AH9)/AB10)*100</f>
        <v>18.995098039215684</v>
      </c>
      <c r="AK9" s="2">
        <v>8</v>
      </c>
      <c r="AL9" s="2">
        <f t="shared" si="3"/>
        <v>41</v>
      </c>
      <c r="AM9" s="2">
        <f t="shared" si="18"/>
        <v>46</v>
      </c>
      <c r="AN9" s="2"/>
      <c r="AO9" s="2"/>
      <c r="AP9" s="2"/>
      <c r="AQ9" s="2"/>
      <c r="AR9" s="2"/>
      <c r="AS9" s="2"/>
      <c r="AU9">
        <v>8</v>
      </c>
      <c r="AV9">
        <f t="shared" si="4"/>
        <v>41</v>
      </c>
      <c r="AW9">
        <f t="shared" si="22"/>
        <v>46.833333333333336</v>
      </c>
    </row>
    <row r="10" spans="1:55" x14ac:dyDescent="0.35">
      <c r="A10">
        <v>9</v>
      </c>
      <c r="B10">
        <v>15</v>
      </c>
      <c r="D10">
        <v>9</v>
      </c>
      <c r="E10">
        <v>86.4</v>
      </c>
      <c r="G10">
        <v>9</v>
      </c>
      <c r="H10">
        <f t="shared" si="0"/>
        <v>51</v>
      </c>
      <c r="I10">
        <f t="shared" si="5"/>
        <v>46</v>
      </c>
      <c r="J10">
        <f t="shared" si="5"/>
        <v>43.5</v>
      </c>
      <c r="K10">
        <f t="shared" si="6"/>
        <v>48.5</v>
      </c>
      <c r="L10">
        <f t="shared" si="7"/>
        <v>5</v>
      </c>
      <c r="M10">
        <f t="shared" si="8"/>
        <v>53.5</v>
      </c>
      <c r="N10">
        <f t="shared" si="9"/>
        <v>-2.5</v>
      </c>
      <c r="O10">
        <f t="shared" si="10"/>
        <v>4.9019607843137258</v>
      </c>
      <c r="Q10">
        <v>9</v>
      </c>
      <c r="R10">
        <f t="shared" si="1"/>
        <v>51</v>
      </c>
      <c r="S10">
        <f t="shared" si="11"/>
        <v>44.333333333333336</v>
      </c>
      <c r="T10">
        <f t="shared" si="11"/>
        <v>44.888888888888886</v>
      </c>
      <c r="U10">
        <f t="shared" si="13"/>
        <v>43.777777777777786</v>
      </c>
      <c r="V10">
        <f t="shared" si="14"/>
        <v>-1.1111111111111001</v>
      </c>
      <c r="W10">
        <f t="shared" si="12"/>
        <v>42.666666666666686</v>
      </c>
      <c r="X10">
        <f t="shared" si="15"/>
        <v>8.3333333333333144</v>
      </c>
      <c r="Y10">
        <f t="shared" si="16"/>
        <v>16.339869281045715</v>
      </c>
      <c r="AA10">
        <v>9</v>
      </c>
      <c r="AB10">
        <f t="shared" si="2"/>
        <v>51</v>
      </c>
      <c r="AC10">
        <f t="shared" si="17"/>
        <v>44.75</v>
      </c>
      <c r="AD10">
        <f t="shared" si="17"/>
        <v>46.9375</v>
      </c>
      <c r="AE10">
        <f t="shared" si="19"/>
        <v>42.5625</v>
      </c>
      <c r="AF10">
        <f t="shared" si="20"/>
        <v>-4.375</v>
      </c>
      <c r="AG10">
        <f t="shared" si="21"/>
        <v>38.1875</v>
      </c>
      <c r="AH10">
        <f t="shared" si="23"/>
        <v>12.8125</v>
      </c>
      <c r="AI10">
        <f t="shared" si="24"/>
        <v>25.122549019607842</v>
      </c>
      <c r="AK10" s="2">
        <v>9</v>
      </c>
      <c r="AL10" s="2">
        <f t="shared" si="3"/>
        <v>51</v>
      </c>
      <c r="AM10" s="2">
        <f t="shared" si="18"/>
        <v>47</v>
      </c>
      <c r="AN10" s="2">
        <f>AVERAGE(AM6:AM10)</f>
        <v>47.6</v>
      </c>
      <c r="AO10" s="2">
        <f>(2*AM10)-AN10</f>
        <v>46.4</v>
      </c>
      <c r="AP10" s="2">
        <f t="shared" ref="AP10:AP25" si="25">2*(AM10-AN10)</f>
        <v>-1.2000000000000028</v>
      </c>
      <c r="AQ10" s="2">
        <f t="shared" ref="AQ10:AQ25" si="26">AO10+AP10</f>
        <v>45.199999999999996</v>
      </c>
      <c r="AR10" s="2">
        <f>AL11-AQ10</f>
        <v>5.8000000000000043</v>
      </c>
      <c r="AS10" s="2">
        <f>(ABS(AR10)/AL11)*100</f>
        <v>11.372549019607851</v>
      </c>
      <c r="AU10">
        <v>9</v>
      </c>
      <c r="AV10">
        <f t="shared" si="4"/>
        <v>51</v>
      </c>
      <c r="AW10">
        <f t="shared" si="22"/>
        <v>46.833333333333336</v>
      </c>
    </row>
    <row r="11" spans="1:55" x14ac:dyDescent="0.35">
      <c r="A11">
        <v>10</v>
      </c>
      <c r="B11">
        <v>15</v>
      </c>
      <c r="D11">
        <v>10</v>
      </c>
      <c r="E11">
        <v>86.3</v>
      </c>
      <c r="G11">
        <v>10</v>
      </c>
      <c r="H11">
        <f t="shared" si="0"/>
        <v>51</v>
      </c>
      <c r="I11">
        <f t="shared" si="5"/>
        <v>51</v>
      </c>
      <c r="J11">
        <f t="shared" si="5"/>
        <v>48.5</v>
      </c>
      <c r="K11">
        <f t="shared" si="6"/>
        <v>53.5</v>
      </c>
      <c r="L11">
        <f t="shared" si="7"/>
        <v>5</v>
      </c>
      <c r="M11">
        <f t="shared" si="8"/>
        <v>58.5</v>
      </c>
      <c r="N11">
        <f t="shared" si="9"/>
        <v>-17.5</v>
      </c>
      <c r="O11">
        <f t="shared" si="10"/>
        <v>42.68292682926829</v>
      </c>
      <c r="Q11">
        <v>10</v>
      </c>
      <c r="R11">
        <f t="shared" si="1"/>
        <v>51</v>
      </c>
      <c r="S11">
        <f t="shared" si="11"/>
        <v>47.666666666666664</v>
      </c>
      <c r="T11">
        <f t="shared" si="11"/>
        <v>44.888888888888886</v>
      </c>
      <c r="U11">
        <f t="shared" si="13"/>
        <v>50.444444444444443</v>
      </c>
      <c r="V11">
        <f t="shared" si="14"/>
        <v>5.5555555555555571</v>
      </c>
      <c r="W11">
        <f t="shared" si="12"/>
        <v>56</v>
      </c>
      <c r="X11">
        <f t="shared" si="15"/>
        <v>-15</v>
      </c>
      <c r="Y11">
        <f t="shared" si="16"/>
        <v>36.585365853658537</v>
      </c>
      <c r="AA11">
        <v>10</v>
      </c>
      <c r="AB11">
        <f t="shared" si="2"/>
        <v>51</v>
      </c>
      <c r="AC11">
        <f t="shared" si="17"/>
        <v>46</v>
      </c>
      <c r="AD11">
        <f t="shared" si="17"/>
        <v>46</v>
      </c>
      <c r="AE11">
        <f t="shared" si="19"/>
        <v>46</v>
      </c>
      <c r="AF11">
        <f t="shared" si="20"/>
        <v>0</v>
      </c>
      <c r="AG11">
        <f t="shared" si="21"/>
        <v>46</v>
      </c>
      <c r="AH11">
        <f t="shared" si="23"/>
        <v>-5</v>
      </c>
      <c r="AI11">
        <f t="shared" si="24"/>
        <v>12.195121951219512</v>
      </c>
      <c r="AK11" s="2">
        <v>10</v>
      </c>
      <c r="AL11" s="2">
        <f t="shared" si="3"/>
        <v>51</v>
      </c>
      <c r="AM11" s="2">
        <f t="shared" si="18"/>
        <v>46</v>
      </c>
      <c r="AN11" s="2">
        <f t="shared" si="18"/>
        <v>46.8</v>
      </c>
      <c r="AO11" s="2">
        <f t="shared" ref="AO11:AO25" si="27">(2*AM11)-AN11</f>
        <v>45.2</v>
      </c>
      <c r="AP11" s="2">
        <f t="shared" si="25"/>
        <v>-1.5999999999999943</v>
      </c>
      <c r="AQ11" s="2">
        <f t="shared" si="26"/>
        <v>43.600000000000009</v>
      </c>
      <c r="AR11" s="2">
        <f t="shared" ref="AR11:AR24" si="28">AL12-AQ11</f>
        <v>-2.6000000000000085</v>
      </c>
      <c r="AS11" s="2">
        <f t="shared" ref="AS11:AS24" si="29">(ABS(AR11)/AL12)*100</f>
        <v>6.3414634146341671</v>
      </c>
      <c r="AU11">
        <v>10</v>
      </c>
      <c r="AV11">
        <f t="shared" si="4"/>
        <v>51</v>
      </c>
      <c r="AW11">
        <f t="shared" si="22"/>
        <v>47.666666666666664</v>
      </c>
    </row>
    <row r="12" spans="1:55" x14ac:dyDescent="0.35">
      <c r="A12">
        <v>11</v>
      </c>
      <c r="B12">
        <v>5</v>
      </c>
      <c r="D12">
        <v>11</v>
      </c>
      <c r="E12">
        <v>81.900000000000006</v>
      </c>
      <c r="G12">
        <v>11</v>
      </c>
      <c r="H12">
        <f t="shared" si="0"/>
        <v>41</v>
      </c>
      <c r="I12">
        <f t="shared" si="5"/>
        <v>46</v>
      </c>
      <c r="J12">
        <f t="shared" si="5"/>
        <v>48.5</v>
      </c>
      <c r="K12">
        <f t="shared" si="6"/>
        <v>43.5</v>
      </c>
      <c r="L12">
        <f t="shared" si="7"/>
        <v>-5</v>
      </c>
      <c r="M12">
        <f t="shared" si="8"/>
        <v>38.5</v>
      </c>
      <c r="N12">
        <f t="shared" si="9"/>
        <v>17.5</v>
      </c>
      <c r="O12">
        <f t="shared" si="10"/>
        <v>31.25</v>
      </c>
      <c r="Q12">
        <v>11</v>
      </c>
      <c r="R12">
        <f t="shared" si="1"/>
        <v>41</v>
      </c>
      <c r="S12">
        <f t="shared" si="11"/>
        <v>47.666666666666664</v>
      </c>
      <c r="T12">
        <f t="shared" si="11"/>
        <v>46.55555555555555</v>
      </c>
      <c r="U12">
        <f t="shared" si="13"/>
        <v>48.777777777777779</v>
      </c>
      <c r="V12">
        <f t="shared" si="14"/>
        <v>2.2222222222222285</v>
      </c>
      <c r="W12">
        <f t="shared" si="12"/>
        <v>51.000000000000007</v>
      </c>
      <c r="X12">
        <f t="shared" si="15"/>
        <v>4.9999999999999929</v>
      </c>
      <c r="Y12">
        <f t="shared" si="16"/>
        <v>8.9285714285714164</v>
      </c>
      <c r="AA12">
        <v>11</v>
      </c>
      <c r="AB12">
        <f t="shared" si="2"/>
        <v>41</v>
      </c>
      <c r="AC12">
        <f t="shared" si="17"/>
        <v>46</v>
      </c>
      <c r="AD12">
        <f t="shared" si="17"/>
        <v>45.6875</v>
      </c>
      <c r="AE12">
        <f t="shared" si="19"/>
        <v>46.3125</v>
      </c>
      <c r="AF12">
        <f t="shared" si="20"/>
        <v>0.625</v>
      </c>
      <c r="AG12">
        <f t="shared" si="21"/>
        <v>46.9375</v>
      </c>
      <c r="AH12">
        <f t="shared" si="23"/>
        <v>9.0625</v>
      </c>
      <c r="AI12">
        <f t="shared" si="24"/>
        <v>16.183035714285715</v>
      </c>
      <c r="AK12" s="2">
        <v>11</v>
      </c>
      <c r="AL12" s="2">
        <f t="shared" si="3"/>
        <v>41</v>
      </c>
      <c r="AM12" s="2">
        <f t="shared" si="18"/>
        <v>45</v>
      </c>
      <c r="AN12" s="2">
        <f t="shared" si="18"/>
        <v>46.4</v>
      </c>
      <c r="AO12" s="2">
        <f t="shared" si="27"/>
        <v>43.6</v>
      </c>
      <c r="AP12" s="2">
        <f t="shared" si="25"/>
        <v>-2.7999999999999972</v>
      </c>
      <c r="AQ12" s="2">
        <f t="shared" si="26"/>
        <v>40.800000000000004</v>
      </c>
      <c r="AR12" s="2">
        <f t="shared" si="28"/>
        <v>15.199999999999996</v>
      </c>
      <c r="AS12" s="2">
        <f t="shared" si="29"/>
        <v>27.142857142857135</v>
      </c>
      <c r="AU12">
        <v>11</v>
      </c>
      <c r="AV12">
        <f t="shared" si="4"/>
        <v>41</v>
      </c>
      <c r="AW12">
        <f t="shared" si="22"/>
        <v>45.166666666666664</v>
      </c>
      <c r="AX12">
        <f>AVERAGE(AW7:AW12)</f>
        <v>46.972222222222229</v>
      </c>
      <c r="AY12">
        <f>(2*AW12)-AX12</f>
        <v>43.3611111111111</v>
      </c>
      <c r="AZ12">
        <f t="shared" ref="AZ12:AZ25" si="30">2*(AW12-AX12)</f>
        <v>-3.6111111111111285</v>
      </c>
      <c r="BA12">
        <f t="shared" ref="BA12:BA25" si="31">AY12+AZ12</f>
        <v>39.749999999999972</v>
      </c>
      <c r="BB12">
        <f>AV13-BA12</f>
        <v>16.250000000000028</v>
      </c>
      <c r="BC12">
        <f>(ABS(BB12)/AV13)*100</f>
        <v>29.017857142857196</v>
      </c>
    </row>
    <row r="13" spans="1:55" x14ac:dyDescent="0.35">
      <c r="A13">
        <v>12</v>
      </c>
      <c r="B13">
        <v>20</v>
      </c>
      <c r="D13">
        <v>12</v>
      </c>
      <c r="E13">
        <v>90.6</v>
      </c>
      <c r="G13">
        <v>12</v>
      </c>
      <c r="H13">
        <f t="shared" si="0"/>
        <v>56</v>
      </c>
      <c r="I13">
        <f t="shared" si="5"/>
        <v>48.5</v>
      </c>
      <c r="J13">
        <f t="shared" si="5"/>
        <v>47.25</v>
      </c>
      <c r="K13">
        <f t="shared" si="6"/>
        <v>49.75</v>
      </c>
      <c r="L13">
        <f t="shared" si="7"/>
        <v>2.5</v>
      </c>
      <c r="M13">
        <f t="shared" si="8"/>
        <v>52.25</v>
      </c>
      <c r="N13">
        <f t="shared" si="9"/>
        <v>-1.25</v>
      </c>
      <c r="O13">
        <f t="shared" si="10"/>
        <v>2.4509803921568629</v>
      </c>
      <c r="Q13">
        <v>12</v>
      </c>
      <c r="R13">
        <f t="shared" si="1"/>
        <v>56</v>
      </c>
      <c r="S13">
        <f t="shared" si="11"/>
        <v>49.333333333333336</v>
      </c>
      <c r="T13">
        <f t="shared" si="11"/>
        <v>48.222222222222221</v>
      </c>
      <c r="U13">
        <f t="shared" si="13"/>
        <v>50.44444444444445</v>
      </c>
      <c r="V13">
        <f t="shared" si="14"/>
        <v>2.2222222222222285</v>
      </c>
      <c r="W13">
        <f t="shared" si="12"/>
        <v>52.666666666666679</v>
      </c>
      <c r="X13">
        <f t="shared" si="15"/>
        <v>-1.6666666666666785</v>
      </c>
      <c r="Y13">
        <f t="shared" si="16"/>
        <v>3.2679738562091734</v>
      </c>
      <c r="AA13">
        <v>12</v>
      </c>
      <c r="AB13">
        <f t="shared" si="2"/>
        <v>56</v>
      </c>
      <c r="AC13">
        <f t="shared" si="17"/>
        <v>49.75</v>
      </c>
      <c r="AD13">
        <f t="shared" si="17"/>
        <v>46.625</v>
      </c>
      <c r="AE13">
        <f t="shared" si="19"/>
        <v>52.875</v>
      </c>
      <c r="AF13">
        <f t="shared" si="20"/>
        <v>6.25</v>
      </c>
      <c r="AG13">
        <f t="shared" si="21"/>
        <v>59.125</v>
      </c>
      <c r="AH13">
        <f t="shared" si="23"/>
        <v>-8.125</v>
      </c>
      <c r="AI13">
        <f t="shared" si="24"/>
        <v>15.931372549019606</v>
      </c>
      <c r="AK13" s="2">
        <v>12</v>
      </c>
      <c r="AL13" s="2">
        <f t="shared" si="3"/>
        <v>56</v>
      </c>
      <c r="AM13" s="2">
        <f t="shared" si="18"/>
        <v>48</v>
      </c>
      <c r="AN13" s="2">
        <f t="shared" si="18"/>
        <v>46.4</v>
      </c>
      <c r="AO13" s="2">
        <f t="shared" si="27"/>
        <v>49.6</v>
      </c>
      <c r="AP13" s="2">
        <f t="shared" si="25"/>
        <v>3.2000000000000028</v>
      </c>
      <c r="AQ13" s="2">
        <f t="shared" si="26"/>
        <v>52.800000000000004</v>
      </c>
      <c r="AR13" s="2">
        <f t="shared" si="28"/>
        <v>-1.8000000000000043</v>
      </c>
      <c r="AS13" s="2">
        <f t="shared" si="29"/>
        <v>3.5294117647058907</v>
      </c>
      <c r="AU13">
        <v>12</v>
      </c>
      <c r="AV13">
        <f t="shared" si="4"/>
        <v>56</v>
      </c>
      <c r="AW13">
        <f t="shared" si="22"/>
        <v>46.833333333333336</v>
      </c>
      <c r="AX13">
        <f t="shared" si="22"/>
        <v>46.55555555555555</v>
      </c>
      <c r="AY13">
        <f t="shared" ref="AY13:AY25" si="32">(2*AW13)-AX13</f>
        <v>47.111111111111121</v>
      </c>
      <c r="AZ13">
        <f t="shared" si="30"/>
        <v>0.55555555555557135</v>
      </c>
      <c r="BA13">
        <f t="shared" si="31"/>
        <v>47.666666666666693</v>
      </c>
      <c r="BB13">
        <f t="shared" ref="BB13:BB24" si="33">AV14-BA13</f>
        <v>3.3333333333333073</v>
      </c>
      <c r="BC13">
        <f t="shared" ref="BC13:BC24" si="34">(ABS(BB13)/AV14)*100</f>
        <v>6.5359477124182499</v>
      </c>
    </row>
    <row r="14" spans="1:55" x14ac:dyDescent="0.35">
      <c r="A14">
        <v>13</v>
      </c>
      <c r="B14">
        <v>15</v>
      </c>
      <c r="D14">
        <v>13</v>
      </c>
      <c r="E14">
        <v>91.4</v>
      </c>
      <c r="G14">
        <v>13</v>
      </c>
      <c r="H14">
        <f t="shared" si="0"/>
        <v>51</v>
      </c>
      <c r="I14">
        <f t="shared" si="5"/>
        <v>53.5</v>
      </c>
      <c r="J14">
        <f t="shared" si="5"/>
        <v>51</v>
      </c>
      <c r="K14">
        <f t="shared" si="6"/>
        <v>56</v>
      </c>
      <c r="L14">
        <f t="shared" si="7"/>
        <v>5</v>
      </c>
      <c r="M14">
        <f t="shared" si="8"/>
        <v>61</v>
      </c>
      <c r="N14">
        <f t="shared" si="9"/>
        <v>-20</v>
      </c>
      <c r="O14">
        <f t="shared" si="10"/>
        <v>48.780487804878049</v>
      </c>
      <c r="Q14">
        <v>13</v>
      </c>
      <c r="R14">
        <f t="shared" si="1"/>
        <v>51</v>
      </c>
      <c r="S14">
        <f t="shared" si="11"/>
        <v>49.333333333333336</v>
      </c>
      <c r="T14">
        <f t="shared" si="11"/>
        <v>48.777777777777779</v>
      </c>
      <c r="U14">
        <f t="shared" si="13"/>
        <v>49.888888888888893</v>
      </c>
      <c r="V14">
        <f t="shared" si="14"/>
        <v>1.1111111111111143</v>
      </c>
      <c r="W14">
        <f t="shared" si="12"/>
        <v>51.000000000000007</v>
      </c>
      <c r="X14">
        <f t="shared" si="15"/>
        <v>-10.000000000000007</v>
      </c>
      <c r="Y14">
        <f t="shared" si="16"/>
        <v>24.390243902439039</v>
      </c>
      <c r="AA14">
        <v>13</v>
      </c>
      <c r="AB14">
        <f t="shared" si="2"/>
        <v>51</v>
      </c>
      <c r="AC14">
        <f t="shared" si="17"/>
        <v>49.75</v>
      </c>
      <c r="AD14">
        <f t="shared" si="17"/>
        <v>47.875</v>
      </c>
      <c r="AE14">
        <f t="shared" si="19"/>
        <v>51.625</v>
      </c>
      <c r="AF14">
        <f t="shared" si="20"/>
        <v>3.75</v>
      </c>
      <c r="AG14">
        <f t="shared" si="21"/>
        <v>55.375</v>
      </c>
      <c r="AH14">
        <f t="shared" si="23"/>
        <v>-14.375</v>
      </c>
      <c r="AI14">
        <f t="shared" si="24"/>
        <v>35.060975609756099</v>
      </c>
      <c r="AK14" s="2">
        <v>13</v>
      </c>
      <c r="AL14" s="2">
        <f t="shared" si="3"/>
        <v>51</v>
      </c>
      <c r="AM14" s="2">
        <f t="shared" si="18"/>
        <v>50</v>
      </c>
      <c r="AN14" s="2">
        <f t="shared" si="18"/>
        <v>47.2</v>
      </c>
      <c r="AO14" s="2">
        <f t="shared" si="27"/>
        <v>52.8</v>
      </c>
      <c r="AP14" s="2">
        <f t="shared" si="25"/>
        <v>5.5999999999999943</v>
      </c>
      <c r="AQ14" s="2">
        <f t="shared" si="26"/>
        <v>58.399999999999991</v>
      </c>
      <c r="AR14" s="2">
        <f t="shared" si="28"/>
        <v>-17.399999999999991</v>
      </c>
      <c r="AS14" s="2">
        <f t="shared" si="29"/>
        <v>42.43902439024388</v>
      </c>
      <c r="AU14">
        <v>13</v>
      </c>
      <c r="AV14">
        <f t="shared" si="4"/>
        <v>51</v>
      </c>
      <c r="AW14">
        <f t="shared" si="22"/>
        <v>48.5</v>
      </c>
      <c r="AX14">
        <f t="shared" si="22"/>
        <v>46.972222222222229</v>
      </c>
      <c r="AY14">
        <f t="shared" si="32"/>
        <v>50.027777777777771</v>
      </c>
      <c r="AZ14">
        <f t="shared" si="30"/>
        <v>3.0555555555555429</v>
      </c>
      <c r="BA14">
        <f t="shared" si="31"/>
        <v>53.083333333333314</v>
      </c>
      <c r="BB14">
        <f t="shared" si="33"/>
        <v>-12.083333333333314</v>
      </c>
      <c r="BC14">
        <f t="shared" si="34"/>
        <v>29.471544715447106</v>
      </c>
    </row>
    <row r="15" spans="1:55" x14ac:dyDescent="0.35">
      <c r="A15">
        <v>14</v>
      </c>
      <c r="B15">
        <v>5</v>
      </c>
      <c r="D15">
        <v>14</v>
      </c>
      <c r="E15">
        <v>88.5</v>
      </c>
      <c r="G15">
        <v>14</v>
      </c>
      <c r="H15">
        <f t="shared" si="0"/>
        <v>41</v>
      </c>
      <c r="I15">
        <f t="shared" si="5"/>
        <v>46</v>
      </c>
      <c r="J15">
        <f t="shared" si="5"/>
        <v>49.75</v>
      </c>
      <c r="K15">
        <f t="shared" si="6"/>
        <v>42.25</v>
      </c>
      <c r="L15">
        <f t="shared" si="7"/>
        <v>-7.5</v>
      </c>
      <c r="M15">
        <f t="shared" si="8"/>
        <v>34.75</v>
      </c>
      <c r="N15">
        <f t="shared" si="9"/>
        <v>11.25</v>
      </c>
      <c r="O15">
        <f t="shared" si="10"/>
        <v>24.456521739130434</v>
      </c>
      <c r="Q15">
        <v>14</v>
      </c>
      <c r="R15">
        <f t="shared" si="1"/>
        <v>41</v>
      </c>
      <c r="S15">
        <f t="shared" si="11"/>
        <v>49.333333333333336</v>
      </c>
      <c r="T15">
        <f t="shared" si="11"/>
        <v>49.333333333333336</v>
      </c>
      <c r="U15">
        <f t="shared" si="13"/>
        <v>49.333333333333336</v>
      </c>
      <c r="V15">
        <f t="shared" si="14"/>
        <v>0</v>
      </c>
      <c r="W15">
        <f t="shared" si="12"/>
        <v>49.333333333333336</v>
      </c>
      <c r="X15">
        <f t="shared" si="15"/>
        <v>-3.3333333333333357</v>
      </c>
      <c r="Y15">
        <f t="shared" si="16"/>
        <v>7.2463768115942084</v>
      </c>
      <c r="AA15">
        <v>14</v>
      </c>
      <c r="AB15">
        <f t="shared" si="2"/>
        <v>41</v>
      </c>
      <c r="AC15">
        <f t="shared" si="17"/>
        <v>47.25</v>
      </c>
      <c r="AD15">
        <f t="shared" si="17"/>
        <v>48.1875</v>
      </c>
      <c r="AE15">
        <f t="shared" si="19"/>
        <v>46.3125</v>
      </c>
      <c r="AF15">
        <f t="shared" si="20"/>
        <v>-1.875</v>
      </c>
      <c r="AG15">
        <f t="shared" si="21"/>
        <v>44.4375</v>
      </c>
      <c r="AH15">
        <f t="shared" si="23"/>
        <v>1.5625</v>
      </c>
      <c r="AI15">
        <f t="shared" si="24"/>
        <v>3.3967391304347823</v>
      </c>
      <c r="AK15" s="2">
        <v>14</v>
      </c>
      <c r="AL15" s="2">
        <f t="shared" si="3"/>
        <v>41</v>
      </c>
      <c r="AM15" s="2">
        <f t="shared" si="18"/>
        <v>48</v>
      </c>
      <c r="AN15" s="2">
        <f t="shared" si="18"/>
        <v>47.4</v>
      </c>
      <c r="AO15" s="2">
        <f t="shared" si="27"/>
        <v>48.6</v>
      </c>
      <c r="AP15" s="2">
        <f t="shared" si="25"/>
        <v>1.2000000000000028</v>
      </c>
      <c r="AQ15" s="2">
        <f t="shared" si="26"/>
        <v>49.800000000000004</v>
      </c>
      <c r="AR15" s="2">
        <f t="shared" si="28"/>
        <v>-3.8000000000000043</v>
      </c>
      <c r="AS15" s="2">
        <f t="shared" si="29"/>
        <v>8.2608695652174013</v>
      </c>
      <c r="AU15">
        <v>14</v>
      </c>
      <c r="AV15">
        <f t="shared" si="4"/>
        <v>41</v>
      </c>
      <c r="AW15">
        <f t="shared" si="22"/>
        <v>48.5</v>
      </c>
      <c r="AX15">
        <f t="shared" si="22"/>
        <v>47.25</v>
      </c>
      <c r="AY15">
        <f t="shared" si="32"/>
        <v>49.75</v>
      </c>
      <c r="AZ15">
        <f t="shared" si="30"/>
        <v>2.5</v>
      </c>
      <c r="BA15">
        <f t="shared" si="31"/>
        <v>52.25</v>
      </c>
      <c r="BB15">
        <f t="shared" si="33"/>
        <v>-6.25</v>
      </c>
      <c r="BC15">
        <f t="shared" si="34"/>
        <v>13.586956521739129</v>
      </c>
    </row>
    <row r="16" spans="1:55" x14ac:dyDescent="0.35">
      <c r="A16">
        <v>15</v>
      </c>
      <c r="B16">
        <v>10</v>
      </c>
      <c r="D16">
        <v>15</v>
      </c>
      <c r="E16">
        <v>93.5</v>
      </c>
      <c r="G16">
        <v>15</v>
      </c>
      <c r="H16">
        <f t="shared" si="0"/>
        <v>46</v>
      </c>
      <c r="I16">
        <f t="shared" si="5"/>
        <v>43.5</v>
      </c>
      <c r="J16">
        <f t="shared" si="5"/>
        <v>44.75</v>
      </c>
      <c r="K16">
        <f t="shared" si="6"/>
        <v>42.25</v>
      </c>
      <c r="L16">
        <f t="shared" si="7"/>
        <v>-2.5</v>
      </c>
      <c r="M16">
        <f t="shared" si="8"/>
        <v>39.75</v>
      </c>
      <c r="N16">
        <f t="shared" si="9"/>
        <v>21.25</v>
      </c>
      <c r="O16">
        <f t="shared" si="10"/>
        <v>34.83606557377049</v>
      </c>
      <c r="Q16">
        <v>15</v>
      </c>
      <c r="R16">
        <f t="shared" si="1"/>
        <v>46</v>
      </c>
      <c r="S16">
        <f t="shared" si="11"/>
        <v>46</v>
      </c>
      <c r="T16">
        <f t="shared" si="11"/>
        <v>48.222222222222229</v>
      </c>
      <c r="U16">
        <f t="shared" si="13"/>
        <v>43.777777777777771</v>
      </c>
      <c r="V16">
        <f t="shared" si="14"/>
        <v>-4.4444444444444571</v>
      </c>
      <c r="W16">
        <f t="shared" si="12"/>
        <v>39.333333333333314</v>
      </c>
      <c r="X16">
        <f t="shared" si="15"/>
        <v>21.666666666666686</v>
      </c>
      <c r="Y16">
        <f t="shared" si="16"/>
        <v>35.519125683060139</v>
      </c>
      <c r="AA16">
        <v>15</v>
      </c>
      <c r="AB16">
        <f t="shared" si="2"/>
        <v>46</v>
      </c>
      <c r="AC16">
        <f t="shared" si="17"/>
        <v>48.5</v>
      </c>
      <c r="AD16">
        <f t="shared" si="17"/>
        <v>48.8125</v>
      </c>
      <c r="AE16">
        <f t="shared" si="19"/>
        <v>48.1875</v>
      </c>
      <c r="AF16">
        <f t="shared" si="20"/>
        <v>-0.625</v>
      </c>
      <c r="AG16">
        <f t="shared" si="21"/>
        <v>47.5625</v>
      </c>
      <c r="AH16">
        <f t="shared" si="23"/>
        <v>13.4375</v>
      </c>
      <c r="AI16">
        <f t="shared" si="24"/>
        <v>22.028688524590166</v>
      </c>
      <c r="AK16" s="2">
        <v>15</v>
      </c>
      <c r="AL16" s="2">
        <f t="shared" si="3"/>
        <v>46</v>
      </c>
      <c r="AM16" s="2">
        <f t="shared" si="18"/>
        <v>47</v>
      </c>
      <c r="AN16" s="2">
        <f t="shared" si="18"/>
        <v>47.6</v>
      </c>
      <c r="AO16" s="2">
        <f t="shared" si="27"/>
        <v>46.4</v>
      </c>
      <c r="AP16" s="2">
        <f t="shared" si="25"/>
        <v>-1.2000000000000028</v>
      </c>
      <c r="AQ16" s="2">
        <f t="shared" si="26"/>
        <v>45.199999999999996</v>
      </c>
      <c r="AR16" s="2">
        <f t="shared" si="28"/>
        <v>15.800000000000004</v>
      </c>
      <c r="AS16" s="2">
        <f t="shared" si="29"/>
        <v>25.9016393442623</v>
      </c>
      <c r="AU16">
        <v>15</v>
      </c>
      <c r="AV16">
        <f t="shared" si="4"/>
        <v>46</v>
      </c>
      <c r="AW16">
        <f t="shared" si="22"/>
        <v>47.666666666666664</v>
      </c>
      <c r="AX16">
        <f t="shared" si="22"/>
        <v>47.388888888888886</v>
      </c>
      <c r="AY16">
        <f t="shared" si="32"/>
        <v>47.944444444444443</v>
      </c>
      <c r="AZ16">
        <f t="shared" si="30"/>
        <v>0.55555555555555713</v>
      </c>
      <c r="BA16">
        <f t="shared" si="31"/>
        <v>48.5</v>
      </c>
      <c r="BB16">
        <f t="shared" si="33"/>
        <v>12.5</v>
      </c>
      <c r="BC16">
        <f t="shared" si="34"/>
        <v>20.491803278688526</v>
      </c>
    </row>
    <row r="17" spans="1:55" x14ac:dyDescent="0.35">
      <c r="A17">
        <v>16</v>
      </c>
      <c r="B17">
        <v>25</v>
      </c>
      <c r="D17">
        <v>16</v>
      </c>
      <c r="E17">
        <v>105</v>
      </c>
      <c r="G17">
        <v>16</v>
      </c>
      <c r="H17">
        <f t="shared" si="0"/>
        <v>61</v>
      </c>
      <c r="I17">
        <f t="shared" si="5"/>
        <v>53.5</v>
      </c>
      <c r="J17">
        <f t="shared" si="5"/>
        <v>48.5</v>
      </c>
      <c r="K17">
        <f t="shared" si="6"/>
        <v>58.5</v>
      </c>
      <c r="L17">
        <f t="shared" si="7"/>
        <v>10</v>
      </c>
      <c r="M17">
        <f t="shared" si="8"/>
        <v>68.5</v>
      </c>
      <c r="N17">
        <f t="shared" si="9"/>
        <v>-17.5</v>
      </c>
      <c r="O17">
        <f t="shared" si="10"/>
        <v>34.313725490196077</v>
      </c>
      <c r="Q17">
        <v>16</v>
      </c>
      <c r="R17">
        <f t="shared" si="1"/>
        <v>61</v>
      </c>
      <c r="S17">
        <f t="shared" si="11"/>
        <v>49.333333333333336</v>
      </c>
      <c r="T17">
        <f t="shared" si="11"/>
        <v>48.222222222222229</v>
      </c>
      <c r="U17">
        <f t="shared" si="13"/>
        <v>50.444444444444443</v>
      </c>
      <c r="V17">
        <f t="shared" si="14"/>
        <v>2.2222222222222143</v>
      </c>
      <c r="W17">
        <f t="shared" si="12"/>
        <v>52.666666666666657</v>
      </c>
      <c r="X17">
        <f t="shared" si="15"/>
        <v>-1.6666666666666572</v>
      </c>
      <c r="Y17">
        <f t="shared" si="16"/>
        <v>3.2679738562091316</v>
      </c>
      <c r="AA17">
        <v>16</v>
      </c>
      <c r="AB17">
        <f t="shared" si="2"/>
        <v>61</v>
      </c>
      <c r="AC17">
        <f t="shared" si="17"/>
        <v>49.75</v>
      </c>
      <c r="AD17">
        <f t="shared" si="17"/>
        <v>48.8125</v>
      </c>
      <c r="AE17">
        <f t="shared" si="19"/>
        <v>50.6875</v>
      </c>
      <c r="AF17">
        <f t="shared" si="20"/>
        <v>1.875</v>
      </c>
      <c r="AG17">
        <f t="shared" si="21"/>
        <v>52.5625</v>
      </c>
      <c r="AH17">
        <f t="shared" si="23"/>
        <v>-1.5625</v>
      </c>
      <c r="AI17">
        <f t="shared" si="24"/>
        <v>3.0637254901960782</v>
      </c>
      <c r="AK17" s="2">
        <v>16</v>
      </c>
      <c r="AL17" s="2">
        <f t="shared" si="3"/>
        <v>61</v>
      </c>
      <c r="AM17" s="2">
        <f t="shared" si="18"/>
        <v>51</v>
      </c>
      <c r="AN17" s="2">
        <f t="shared" si="18"/>
        <v>48.8</v>
      </c>
      <c r="AO17" s="2">
        <f t="shared" si="27"/>
        <v>53.2</v>
      </c>
      <c r="AP17" s="2">
        <f t="shared" si="25"/>
        <v>4.4000000000000057</v>
      </c>
      <c r="AQ17" s="2">
        <f t="shared" si="26"/>
        <v>57.600000000000009</v>
      </c>
      <c r="AR17" s="2">
        <f t="shared" si="28"/>
        <v>-6.6000000000000085</v>
      </c>
      <c r="AS17" s="2">
        <f t="shared" si="29"/>
        <v>12.941176470588253</v>
      </c>
      <c r="AU17">
        <v>16</v>
      </c>
      <c r="AV17">
        <f t="shared" si="4"/>
        <v>61</v>
      </c>
      <c r="AW17">
        <f t="shared" si="22"/>
        <v>49.333333333333336</v>
      </c>
      <c r="AX17">
        <f t="shared" si="22"/>
        <v>47.666666666666664</v>
      </c>
      <c r="AY17">
        <f t="shared" si="32"/>
        <v>51.000000000000007</v>
      </c>
      <c r="AZ17">
        <f t="shared" si="30"/>
        <v>3.3333333333333428</v>
      </c>
      <c r="BA17">
        <f t="shared" si="31"/>
        <v>54.33333333333335</v>
      </c>
      <c r="BB17">
        <f t="shared" si="33"/>
        <v>-3.3333333333333499</v>
      </c>
      <c r="BC17">
        <f t="shared" si="34"/>
        <v>6.5359477124183325</v>
      </c>
    </row>
    <row r="18" spans="1:55" x14ac:dyDescent="0.35">
      <c r="A18">
        <v>17</v>
      </c>
      <c r="B18">
        <v>15</v>
      </c>
      <c r="D18">
        <v>17</v>
      </c>
      <c r="E18">
        <v>103.5</v>
      </c>
      <c r="G18">
        <v>17</v>
      </c>
      <c r="H18">
        <f t="shared" si="0"/>
        <v>51</v>
      </c>
      <c r="I18">
        <f t="shared" si="5"/>
        <v>56</v>
      </c>
      <c r="J18">
        <f t="shared" si="5"/>
        <v>54.75</v>
      </c>
      <c r="K18">
        <f t="shared" si="6"/>
        <v>57.25</v>
      </c>
      <c r="L18">
        <f t="shared" si="7"/>
        <v>2.5</v>
      </c>
      <c r="M18">
        <f t="shared" si="8"/>
        <v>59.75</v>
      </c>
      <c r="N18">
        <f t="shared" si="9"/>
        <v>-18.75</v>
      </c>
      <c r="O18">
        <f t="shared" si="10"/>
        <v>45.731707317073173</v>
      </c>
      <c r="Q18">
        <v>17</v>
      </c>
      <c r="R18">
        <f t="shared" si="1"/>
        <v>51</v>
      </c>
      <c r="S18">
        <f t="shared" si="11"/>
        <v>52.666666666666664</v>
      </c>
      <c r="T18">
        <f t="shared" si="11"/>
        <v>49.333333333333336</v>
      </c>
      <c r="U18">
        <f t="shared" si="13"/>
        <v>55.999999999999993</v>
      </c>
      <c r="V18">
        <f t="shared" si="14"/>
        <v>6.6666666666666572</v>
      </c>
      <c r="W18">
        <f t="shared" si="12"/>
        <v>62.66666666666665</v>
      </c>
      <c r="X18">
        <f t="shared" si="15"/>
        <v>-21.66666666666665</v>
      </c>
      <c r="Y18">
        <f t="shared" si="16"/>
        <v>52.845528455284509</v>
      </c>
      <c r="AA18">
        <v>17</v>
      </c>
      <c r="AB18">
        <f t="shared" si="2"/>
        <v>51</v>
      </c>
      <c r="AC18">
        <f t="shared" si="17"/>
        <v>49.75</v>
      </c>
      <c r="AD18">
        <f t="shared" si="17"/>
        <v>48.8125</v>
      </c>
      <c r="AE18">
        <f t="shared" si="19"/>
        <v>50.6875</v>
      </c>
      <c r="AF18">
        <f t="shared" si="20"/>
        <v>1.875</v>
      </c>
      <c r="AG18">
        <f t="shared" si="21"/>
        <v>52.5625</v>
      </c>
      <c r="AH18">
        <f t="shared" si="23"/>
        <v>-11.5625</v>
      </c>
      <c r="AI18">
        <f t="shared" si="24"/>
        <v>28.20121951219512</v>
      </c>
      <c r="AK18" s="2">
        <v>17</v>
      </c>
      <c r="AL18" s="2">
        <f t="shared" si="3"/>
        <v>51</v>
      </c>
      <c r="AM18" s="2">
        <f t="shared" si="18"/>
        <v>50</v>
      </c>
      <c r="AN18" s="2">
        <f t="shared" si="18"/>
        <v>49.2</v>
      </c>
      <c r="AO18" s="2">
        <f t="shared" si="27"/>
        <v>50.8</v>
      </c>
      <c r="AP18" s="2">
        <f t="shared" si="25"/>
        <v>1.5999999999999943</v>
      </c>
      <c r="AQ18" s="2">
        <f t="shared" si="26"/>
        <v>52.399999999999991</v>
      </c>
      <c r="AR18" s="2">
        <f t="shared" si="28"/>
        <v>-11.399999999999991</v>
      </c>
      <c r="AS18" s="2">
        <f t="shared" si="29"/>
        <v>27.804878048780466</v>
      </c>
      <c r="AU18">
        <v>17</v>
      </c>
      <c r="AV18">
        <f t="shared" si="4"/>
        <v>51</v>
      </c>
      <c r="AW18">
        <f t="shared" si="22"/>
        <v>51</v>
      </c>
      <c r="AX18">
        <f t="shared" si="22"/>
        <v>48.638888888888893</v>
      </c>
      <c r="AY18">
        <f t="shared" si="32"/>
        <v>53.361111111111107</v>
      </c>
      <c r="AZ18">
        <f t="shared" si="30"/>
        <v>4.7222222222222143</v>
      </c>
      <c r="BA18">
        <f t="shared" si="31"/>
        <v>58.083333333333321</v>
      </c>
      <c r="BB18">
        <f t="shared" si="33"/>
        <v>-17.083333333333321</v>
      </c>
      <c r="BC18">
        <f t="shared" si="34"/>
        <v>41.666666666666636</v>
      </c>
    </row>
    <row r="19" spans="1:55" x14ac:dyDescent="0.35">
      <c r="A19">
        <v>18</v>
      </c>
      <c r="B19">
        <v>5</v>
      </c>
      <c r="D19">
        <v>18</v>
      </c>
      <c r="E19">
        <v>99.6</v>
      </c>
      <c r="G19">
        <v>18</v>
      </c>
      <c r="H19">
        <f t="shared" si="0"/>
        <v>41</v>
      </c>
      <c r="I19">
        <f t="shared" si="5"/>
        <v>46</v>
      </c>
      <c r="J19">
        <f t="shared" si="5"/>
        <v>51</v>
      </c>
      <c r="K19">
        <f t="shared" si="6"/>
        <v>41</v>
      </c>
      <c r="L19">
        <f t="shared" si="7"/>
        <v>-10</v>
      </c>
      <c r="M19">
        <f t="shared" si="8"/>
        <v>31</v>
      </c>
      <c r="N19">
        <f t="shared" si="9"/>
        <v>20</v>
      </c>
      <c r="O19">
        <f t="shared" si="10"/>
        <v>39.215686274509807</v>
      </c>
      <c r="Q19">
        <v>18</v>
      </c>
      <c r="R19">
        <f t="shared" si="1"/>
        <v>41</v>
      </c>
      <c r="S19">
        <f t="shared" si="11"/>
        <v>51</v>
      </c>
      <c r="T19">
        <f t="shared" si="11"/>
        <v>51</v>
      </c>
      <c r="U19">
        <f t="shared" si="13"/>
        <v>51</v>
      </c>
      <c r="V19">
        <f t="shared" si="14"/>
        <v>0</v>
      </c>
      <c r="W19">
        <f t="shared" si="12"/>
        <v>51</v>
      </c>
      <c r="X19">
        <f t="shared" si="15"/>
        <v>0</v>
      </c>
      <c r="Y19">
        <f t="shared" si="16"/>
        <v>0</v>
      </c>
      <c r="AA19">
        <v>18</v>
      </c>
      <c r="AB19">
        <f t="shared" si="2"/>
        <v>41</v>
      </c>
      <c r="AC19">
        <f t="shared" si="17"/>
        <v>49.75</v>
      </c>
      <c r="AD19">
        <f t="shared" si="17"/>
        <v>49.4375</v>
      </c>
      <c r="AE19">
        <f t="shared" si="19"/>
        <v>50.0625</v>
      </c>
      <c r="AF19">
        <f t="shared" si="20"/>
        <v>0.625</v>
      </c>
      <c r="AG19">
        <f t="shared" si="21"/>
        <v>50.6875</v>
      </c>
      <c r="AH19">
        <f t="shared" si="23"/>
        <v>0.3125</v>
      </c>
      <c r="AI19">
        <f t="shared" si="24"/>
        <v>0.61274509803921573</v>
      </c>
      <c r="AK19" s="2">
        <v>18</v>
      </c>
      <c r="AL19" s="2">
        <f t="shared" si="3"/>
        <v>41</v>
      </c>
      <c r="AM19" s="2">
        <f t="shared" si="18"/>
        <v>48</v>
      </c>
      <c r="AN19" s="2">
        <f t="shared" si="18"/>
        <v>48.8</v>
      </c>
      <c r="AO19" s="2">
        <f t="shared" si="27"/>
        <v>47.2</v>
      </c>
      <c r="AP19" s="2">
        <f t="shared" si="25"/>
        <v>-1.5999999999999943</v>
      </c>
      <c r="AQ19" s="2">
        <f t="shared" si="26"/>
        <v>45.600000000000009</v>
      </c>
      <c r="AR19" s="2">
        <f t="shared" si="28"/>
        <v>5.3999999999999915</v>
      </c>
      <c r="AS19" s="2">
        <f t="shared" si="29"/>
        <v>10.588235294117631</v>
      </c>
      <c r="AU19">
        <v>18</v>
      </c>
      <c r="AV19">
        <f t="shared" si="4"/>
        <v>41</v>
      </c>
      <c r="AW19">
        <f t="shared" si="22"/>
        <v>48.5</v>
      </c>
      <c r="AX19">
        <f t="shared" si="22"/>
        <v>48.916666666666664</v>
      </c>
      <c r="AY19">
        <f t="shared" si="32"/>
        <v>48.083333333333336</v>
      </c>
      <c r="AZ19">
        <f t="shared" si="30"/>
        <v>-0.8333333333333286</v>
      </c>
      <c r="BA19">
        <f t="shared" si="31"/>
        <v>47.250000000000007</v>
      </c>
      <c r="BB19">
        <f t="shared" si="33"/>
        <v>3.7499999999999929</v>
      </c>
      <c r="BC19">
        <f t="shared" si="34"/>
        <v>7.3529411764705745</v>
      </c>
    </row>
    <row r="20" spans="1:55" x14ac:dyDescent="0.35">
      <c r="A20">
        <v>19</v>
      </c>
      <c r="B20">
        <v>15</v>
      </c>
      <c r="D20">
        <v>19</v>
      </c>
      <c r="E20">
        <v>107.1</v>
      </c>
      <c r="G20">
        <v>19</v>
      </c>
      <c r="H20">
        <f t="shared" si="0"/>
        <v>51</v>
      </c>
      <c r="I20">
        <f t="shared" si="5"/>
        <v>46</v>
      </c>
      <c r="J20">
        <f t="shared" si="5"/>
        <v>46</v>
      </c>
      <c r="K20">
        <f t="shared" si="6"/>
        <v>46</v>
      </c>
      <c r="L20">
        <f t="shared" si="7"/>
        <v>0</v>
      </c>
      <c r="M20">
        <f t="shared" si="8"/>
        <v>46</v>
      </c>
      <c r="N20">
        <f t="shared" si="9"/>
        <v>10</v>
      </c>
      <c r="O20">
        <f t="shared" si="10"/>
        <v>17.857142857142858</v>
      </c>
      <c r="Q20">
        <v>19</v>
      </c>
      <c r="R20">
        <f t="shared" si="1"/>
        <v>51</v>
      </c>
      <c r="S20">
        <f t="shared" si="11"/>
        <v>47.666666666666664</v>
      </c>
      <c r="T20">
        <f t="shared" si="11"/>
        <v>50.444444444444436</v>
      </c>
      <c r="U20">
        <f t="shared" si="13"/>
        <v>44.888888888888893</v>
      </c>
      <c r="V20">
        <f t="shared" si="14"/>
        <v>-5.5555555555555429</v>
      </c>
      <c r="W20">
        <f t="shared" si="12"/>
        <v>39.33333333333335</v>
      </c>
      <c r="X20">
        <f t="shared" si="15"/>
        <v>16.66666666666665</v>
      </c>
      <c r="Y20">
        <f t="shared" si="16"/>
        <v>29.761904761904734</v>
      </c>
      <c r="AA20">
        <v>19</v>
      </c>
      <c r="AB20">
        <f t="shared" si="2"/>
        <v>51</v>
      </c>
      <c r="AC20">
        <f t="shared" si="17"/>
        <v>51</v>
      </c>
      <c r="AD20">
        <f t="shared" si="17"/>
        <v>50.0625</v>
      </c>
      <c r="AE20">
        <f t="shared" si="19"/>
        <v>51.9375</v>
      </c>
      <c r="AF20">
        <f t="shared" si="20"/>
        <v>1.875</v>
      </c>
      <c r="AG20">
        <f t="shared" si="21"/>
        <v>53.8125</v>
      </c>
      <c r="AH20">
        <f t="shared" si="23"/>
        <v>2.1875</v>
      </c>
      <c r="AI20">
        <f t="shared" si="24"/>
        <v>3.90625</v>
      </c>
      <c r="AK20" s="2">
        <v>19</v>
      </c>
      <c r="AL20" s="2">
        <f t="shared" si="3"/>
        <v>51</v>
      </c>
      <c r="AM20" s="2">
        <f t="shared" si="18"/>
        <v>50</v>
      </c>
      <c r="AN20" s="2">
        <f t="shared" si="18"/>
        <v>49.2</v>
      </c>
      <c r="AO20" s="2">
        <f t="shared" si="27"/>
        <v>50.8</v>
      </c>
      <c r="AP20" s="2">
        <f t="shared" si="25"/>
        <v>1.5999999999999943</v>
      </c>
      <c r="AQ20" s="2">
        <f t="shared" si="26"/>
        <v>52.399999999999991</v>
      </c>
      <c r="AR20" s="2">
        <f t="shared" si="28"/>
        <v>3.6000000000000085</v>
      </c>
      <c r="AS20" s="2">
        <f t="shared" si="29"/>
        <v>6.428571428571443</v>
      </c>
      <c r="AU20">
        <v>19</v>
      </c>
      <c r="AV20">
        <f t="shared" si="4"/>
        <v>51</v>
      </c>
      <c r="AW20">
        <f t="shared" si="22"/>
        <v>48.5</v>
      </c>
      <c r="AX20">
        <f t="shared" si="22"/>
        <v>48.916666666666664</v>
      </c>
      <c r="AY20">
        <f t="shared" si="32"/>
        <v>48.083333333333336</v>
      </c>
      <c r="AZ20">
        <f t="shared" si="30"/>
        <v>-0.8333333333333286</v>
      </c>
      <c r="BA20">
        <f t="shared" si="31"/>
        <v>47.250000000000007</v>
      </c>
      <c r="BB20">
        <f t="shared" si="33"/>
        <v>8.7499999999999929</v>
      </c>
      <c r="BC20">
        <f t="shared" si="34"/>
        <v>15.624999999999986</v>
      </c>
    </row>
    <row r="21" spans="1:55" x14ac:dyDescent="0.35">
      <c r="A21">
        <v>20</v>
      </c>
      <c r="B21">
        <v>20</v>
      </c>
      <c r="D21">
        <v>20</v>
      </c>
      <c r="E21">
        <v>110.9</v>
      </c>
      <c r="G21">
        <v>20</v>
      </c>
      <c r="H21">
        <f t="shared" si="0"/>
        <v>56</v>
      </c>
      <c r="I21">
        <f t="shared" si="5"/>
        <v>53.5</v>
      </c>
      <c r="J21">
        <f t="shared" si="5"/>
        <v>49.75</v>
      </c>
      <c r="K21">
        <f t="shared" si="6"/>
        <v>57.25</v>
      </c>
      <c r="L21">
        <f t="shared" si="7"/>
        <v>7.5</v>
      </c>
      <c r="M21">
        <f t="shared" si="8"/>
        <v>64.75</v>
      </c>
      <c r="N21">
        <f t="shared" si="9"/>
        <v>-3.75</v>
      </c>
      <c r="O21">
        <f t="shared" si="10"/>
        <v>6.1475409836065573</v>
      </c>
      <c r="Q21">
        <v>20</v>
      </c>
      <c r="R21">
        <f t="shared" si="1"/>
        <v>56</v>
      </c>
      <c r="S21">
        <f t="shared" si="11"/>
        <v>49.333333333333336</v>
      </c>
      <c r="T21">
        <f t="shared" si="11"/>
        <v>49.333333333333336</v>
      </c>
      <c r="U21">
        <f t="shared" si="13"/>
        <v>49.333333333333336</v>
      </c>
      <c r="V21">
        <f t="shared" si="14"/>
        <v>0</v>
      </c>
      <c r="W21">
        <f t="shared" si="12"/>
        <v>49.333333333333336</v>
      </c>
      <c r="X21">
        <f t="shared" si="15"/>
        <v>11.666666666666664</v>
      </c>
      <c r="Y21">
        <f t="shared" si="16"/>
        <v>19.125683060109285</v>
      </c>
      <c r="AA21">
        <v>20</v>
      </c>
      <c r="AB21">
        <f t="shared" si="2"/>
        <v>56</v>
      </c>
      <c r="AC21">
        <f t="shared" si="17"/>
        <v>49.75</v>
      </c>
      <c r="AD21">
        <f t="shared" si="17"/>
        <v>50.0625</v>
      </c>
      <c r="AE21">
        <f t="shared" si="19"/>
        <v>49.4375</v>
      </c>
      <c r="AF21">
        <f t="shared" si="20"/>
        <v>-0.625</v>
      </c>
      <c r="AG21">
        <f t="shared" si="21"/>
        <v>48.8125</v>
      </c>
      <c r="AH21">
        <f t="shared" si="23"/>
        <v>12.1875</v>
      </c>
      <c r="AI21">
        <f t="shared" si="24"/>
        <v>19.979508196721312</v>
      </c>
      <c r="AK21" s="2">
        <v>20</v>
      </c>
      <c r="AL21" s="2">
        <f t="shared" si="3"/>
        <v>56</v>
      </c>
      <c r="AM21" s="2">
        <f t="shared" si="18"/>
        <v>52</v>
      </c>
      <c r="AN21" s="2">
        <f t="shared" si="18"/>
        <v>50.2</v>
      </c>
      <c r="AO21" s="2">
        <f t="shared" si="27"/>
        <v>53.8</v>
      </c>
      <c r="AP21" s="2">
        <f t="shared" si="25"/>
        <v>3.5999999999999943</v>
      </c>
      <c r="AQ21" s="2">
        <f t="shared" si="26"/>
        <v>57.399999999999991</v>
      </c>
      <c r="AR21" s="2">
        <f t="shared" si="28"/>
        <v>3.6000000000000085</v>
      </c>
      <c r="AS21" s="2">
        <f t="shared" si="29"/>
        <v>5.9016393442623087</v>
      </c>
      <c r="AU21">
        <v>20</v>
      </c>
      <c r="AV21">
        <f t="shared" si="4"/>
        <v>56</v>
      </c>
      <c r="AW21">
        <f t="shared" si="22"/>
        <v>51</v>
      </c>
      <c r="AX21">
        <f t="shared" si="22"/>
        <v>49.333333333333336</v>
      </c>
      <c r="AY21">
        <f t="shared" si="32"/>
        <v>52.666666666666664</v>
      </c>
      <c r="AZ21">
        <f t="shared" si="30"/>
        <v>3.3333333333333286</v>
      </c>
      <c r="BA21">
        <f t="shared" si="31"/>
        <v>55.999999999999993</v>
      </c>
      <c r="BB21">
        <f t="shared" si="33"/>
        <v>5.0000000000000071</v>
      </c>
      <c r="BC21">
        <f t="shared" si="34"/>
        <v>8.1967213114754216</v>
      </c>
    </row>
    <row r="22" spans="1:55" x14ac:dyDescent="0.35">
      <c r="A22">
        <v>21</v>
      </c>
      <c r="B22">
        <v>25</v>
      </c>
      <c r="D22">
        <v>21</v>
      </c>
      <c r="E22">
        <v>114.7</v>
      </c>
      <c r="G22">
        <v>21</v>
      </c>
      <c r="H22">
        <f t="shared" si="0"/>
        <v>61</v>
      </c>
      <c r="I22">
        <f t="shared" si="5"/>
        <v>58.5</v>
      </c>
      <c r="J22">
        <f t="shared" si="5"/>
        <v>56</v>
      </c>
      <c r="K22">
        <f t="shared" si="6"/>
        <v>61</v>
      </c>
      <c r="L22">
        <f t="shared" si="7"/>
        <v>5</v>
      </c>
      <c r="M22">
        <f t="shared" si="8"/>
        <v>66</v>
      </c>
      <c r="N22">
        <f t="shared" si="9"/>
        <v>-15</v>
      </c>
      <c r="O22">
        <f t="shared" si="10"/>
        <v>29.411764705882355</v>
      </c>
      <c r="Q22">
        <v>21</v>
      </c>
      <c r="R22">
        <f t="shared" si="1"/>
        <v>61</v>
      </c>
      <c r="S22">
        <f t="shared" si="11"/>
        <v>56</v>
      </c>
      <c r="T22">
        <f t="shared" si="11"/>
        <v>51</v>
      </c>
      <c r="U22">
        <f t="shared" si="13"/>
        <v>61</v>
      </c>
      <c r="V22">
        <f t="shared" si="14"/>
        <v>10</v>
      </c>
      <c r="W22">
        <f t="shared" si="12"/>
        <v>71</v>
      </c>
      <c r="X22">
        <f t="shared" si="15"/>
        <v>-20</v>
      </c>
      <c r="Y22">
        <f t="shared" si="16"/>
        <v>39.215686274509807</v>
      </c>
      <c r="AA22">
        <v>21</v>
      </c>
      <c r="AB22">
        <f t="shared" si="2"/>
        <v>61</v>
      </c>
      <c r="AC22">
        <f t="shared" si="17"/>
        <v>52.25</v>
      </c>
      <c r="AD22">
        <f t="shared" si="17"/>
        <v>50.6875</v>
      </c>
      <c r="AE22">
        <f t="shared" si="19"/>
        <v>53.8125</v>
      </c>
      <c r="AF22">
        <f t="shared" si="20"/>
        <v>3.125</v>
      </c>
      <c r="AG22">
        <f t="shared" si="21"/>
        <v>56.9375</v>
      </c>
      <c r="AH22">
        <f t="shared" si="23"/>
        <v>-5.9375</v>
      </c>
      <c r="AI22">
        <f t="shared" si="24"/>
        <v>11.642156862745098</v>
      </c>
      <c r="AK22" s="2">
        <v>21</v>
      </c>
      <c r="AL22" s="2">
        <f t="shared" si="3"/>
        <v>61</v>
      </c>
      <c r="AM22" s="2">
        <f t="shared" si="18"/>
        <v>52</v>
      </c>
      <c r="AN22" s="2">
        <f t="shared" si="18"/>
        <v>50.4</v>
      </c>
      <c r="AO22" s="2">
        <f t="shared" si="27"/>
        <v>53.6</v>
      </c>
      <c r="AP22" s="2">
        <f t="shared" si="25"/>
        <v>3.2000000000000028</v>
      </c>
      <c r="AQ22" s="2">
        <f t="shared" si="26"/>
        <v>56.800000000000004</v>
      </c>
      <c r="AR22" s="2">
        <f t="shared" si="28"/>
        <v>-5.8000000000000043</v>
      </c>
      <c r="AS22" s="2">
        <f t="shared" si="29"/>
        <v>11.372549019607851</v>
      </c>
      <c r="AU22">
        <v>21</v>
      </c>
      <c r="AV22">
        <f t="shared" si="4"/>
        <v>61</v>
      </c>
      <c r="AW22">
        <f t="shared" si="22"/>
        <v>53.5</v>
      </c>
      <c r="AX22">
        <f t="shared" si="22"/>
        <v>50.305555555555564</v>
      </c>
      <c r="AY22">
        <f t="shared" si="32"/>
        <v>56.694444444444436</v>
      </c>
      <c r="AZ22">
        <f t="shared" si="30"/>
        <v>6.3888888888888715</v>
      </c>
      <c r="BA22">
        <f t="shared" si="31"/>
        <v>63.083333333333307</v>
      </c>
      <c r="BB22">
        <f t="shared" si="33"/>
        <v>-12.083333333333307</v>
      </c>
      <c r="BC22">
        <f t="shared" si="34"/>
        <v>23.692810457516288</v>
      </c>
    </row>
    <row r="23" spans="1:55" x14ac:dyDescent="0.35">
      <c r="A23">
        <v>22</v>
      </c>
      <c r="B23">
        <v>15</v>
      </c>
      <c r="D23">
        <v>22</v>
      </c>
      <c r="E23">
        <v>112.1</v>
      </c>
      <c r="G23">
        <v>22</v>
      </c>
      <c r="H23">
        <f t="shared" si="0"/>
        <v>51</v>
      </c>
      <c r="I23">
        <f t="shared" si="5"/>
        <v>56</v>
      </c>
      <c r="J23">
        <f t="shared" si="5"/>
        <v>57.25</v>
      </c>
      <c r="K23">
        <f t="shared" si="6"/>
        <v>54.75</v>
      </c>
      <c r="L23">
        <f t="shared" si="7"/>
        <v>-2.5</v>
      </c>
      <c r="M23">
        <f t="shared" si="8"/>
        <v>52.25</v>
      </c>
      <c r="N23">
        <f t="shared" si="9"/>
        <v>-16.25</v>
      </c>
      <c r="O23">
        <f t="shared" si="10"/>
        <v>45.138888888888893</v>
      </c>
      <c r="Q23">
        <v>22</v>
      </c>
      <c r="R23">
        <f t="shared" si="1"/>
        <v>51</v>
      </c>
      <c r="S23">
        <f t="shared" si="11"/>
        <v>56</v>
      </c>
      <c r="T23">
        <f t="shared" si="11"/>
        <v>53.777777777777779</v>
      </c>
      <c r="U23">
        <f t="shared" si="13"/>
        <v>58.222222222222221</v>
      </c>
      <c r="V23">
        <f t="shared" si="14"/>
        <v>4.4444444444444429</v>
      </c>
      <c r="W23">
        <f t="shared" si="12"/>
        <v>62.666666666666664</v>
      </c>
      <c r="X23">
        <f t="shared" si="15"/>
        <v>-26.666666666666664</v>
      </c>
      <c r="Y23">
        <f t="shared" si="16"/>
        <v>74.074074074074076</v>
      </c>
      <c r="AA23">
        <v>22</v>
      </c>
      <c r="AB23">
        <f t="shared" si="2"/>
        <v>51</v>
      </c>
      <c r="AC23">
        <f t="shared" si="17"/>
        <v>54.75</v>
      </c>
      <c r="AD23">
        <f t="shared" si="17"/>
        <v>51.9375</v>
      </c>
      <c r="AE23">
        <f t="shared" si="19"/>
        <v>57.5625</v>
      </c>
      <c r="AF23">
        <f t="shared" si="20"/>
        <v>5.625</v>
      </c>
      <c r="AG23">
        <f t="shared" si="21"/>
        <v>63.1875</v>
      </c>
      <c r="AH23">
        <f t="shared" si="23"/>
        <v>-27.1875</v>
      </c>
      <c r="AI23">
        <f t="shared" si="24"/>
        <v>75.520833333333343</v>
      </c>
      <c r="AK23" s="2">
        <v>22</v>
      </c>
      <c r="AL23" s="2">
        <f t="shared" si="3"/>
        <v>51</v>
      </c>
      <c r="AM23" s="2">
        <f t="shared" si="18"/>
        <v>52</v>
      </c>
      <c r="AN23" s="2">
        <f t="shared" si="18"/>
        <v>50.8</v>
      </c>
      <c r="AO23" s="2">
        <f t="shared" si="27"/>
        <v>53.2</v>
      </c>
      <c r="AP23" s="2">
        <f t="shared" si="25"/>
        <v>2.4000000000000057</v>
      </c>
      <c r="AQ23" s="2">
        <f t="shared" si="26"/>
        <v>55.600000000000009</v>
      </c>
      <c r="AR23" s="2">
        <f t="shared" si="28"/>
        <v>-19.600000000000009</v>
      </c>
      <c r="AS23" s="2">
        <f t="shared" si="29"/>
        <v>54.444444444444471</v>
      </c>
      <c r="AU23">
        <v>22</v>
      </c>
      <c r="AV23">
        <f t="shared" si="4"/>
        <v>51</v>
      </c>
      <c r="AW23">
        <f t="shared" si="22"/>
        <v>51.833333333333336</v>
      </c>
      <c r="AX23">
        <f t="shared" si="22"/>
        <v>50.722222222222221</v>
      </c>
      <c r="AY23">
        <f t="shared" si="32"/>
        <v>52.94444444444445</v>
      </c>
      <c r="AZ23">
        <f t="shared" si="30"/>
        <v>2.2222222222222285</v>
      </c>
      <c r="BA23">
        <f t="shared" si="31"/>
        <v>55.166666666666679</v>
      </c>
      <c r="BB23">
        <f t="shared" si="33"/>
        <v>-19.166666666666679</v>
      </c>
      <c r="BC23">
        <f t="shared" si="34"/>
        <v>53.240740740740776</v>
      </c>
    </row>
    <row r="24" spans="1:55" x14ac:dyDescent="0.35">
      <c r="A24">
        <v>23</v>
      </c>
      <c r="B24">
        <v>0</v>
      </c>
      <c r="D24">
        <v>23</v>
      </c>
      <c r="E24">
        <v>105.5</v>
      </c>
      <c r="G24">
        <v>23</v>
      </c>
      <c r="H24">
        <f t="shared" si="0"/>
        <v>36</v>
      </c>
      <c r="I24">
        <f t="shared" si="5"/>
        <v>43.5</v>
      </c>
      <c r="J24">
        <f t="shared" si="5"/>
        <v>49.75</v>
      </c>
      <c r="K24">
        <f t="shared" si="6"/>
        <v>37.25</v>
      </c>
      <c r="L24">
        <f t="shared" si="7"/>
        <v>-12.5</v>
      </c>
      <c r="M24">
        <f t="shared" si="8"/>
        <v>24.75</v>
      </c>
      <c r="N24">
        <f t="shared" si="9"/>
        <v>16.25</v>
      </c>
      <c r="O24">
        <f t="shared" si="10"/>
        <v>39.634146341463413</v>
      </c>
      <c r="Q24">
        <v>23</v>
      </c>
      <c r="R24">
        <f t="shared" si="1"/>
        <v>36</v>
      </c>
      <c r="S24">
        <f t="shared" si="11"/>
        <v>49.333333333333336</v>
      </c>
      <c r="T24">
        <f t="shared" si="11"/>
        <v>53.777777777777779</v>
      </c>
      <c r="U24">
        <f t="shared" si="13"/>
        <v>44.888888888888893</v>
      </c>
      <c r="V24">
        <f t="shared" si="14"/>
        <v>-8.8888888888888857</v>
      </c>
      <c r="W24">
        <f t="shared" si="12"/>
        <v>36.000000000000007</v>
      </c>
      <c r="X24">
        <f t="shared" si="15"/>
        <v>4.9999999999999929</v>
      </c>
      <c r="Y24">
        <f t="shared" si="16"/>
        <v>12.195121951219495</v>
      </c>
      <c r="AA24">
        <v>23</v>
      </c>
      <c r="AB24">
        <f t="shared" si="2"/>
        <v>36</v>
      </c>
      <c r="AC24">
        <f t="shared" si="17"/>
        <v>51</v>
      </c>
      <c r="AD24">
        <f t="shared" si="17"/>
        <v>51.9375</v>
      </c>
      <c r="AE24">
        <f t="shared" si="19"/>
        <v>50.0625</v>
      </c>
      <c r="AF24">
        <f t="shared" si="20"/>
        <v>-1.875</v>
      </c>
      <c r="AG24">
        <f t="shared" si="21"/>
        <v>48.1875</v>
      </c>
      <c r="AH24">
        <f t="shared" si="23"/>
        <v>-7.1875</v>
      </c>
      <c r="AI24">
        <f t="shared" si="24"/>
        <v>17.530487804878049</v>
      </c>
      <c r="AK24" s="2">
        <v>23</v>
      </c>
      <c r="AL24" s="2">
        <f t="shared" si="3"/>
        <v>36</v>
      </c>
      <c r="AM24" s="2">
        <f t="shared" si="18"/>
        <v>51</v>
      </c>
      <c r="AN24" s="2">
        <f t="shared" si="18"/>
        <v>51.4</v>
      </c>
      <c r="AO24" s="2">
        <f t="shared" si="27"/>
        <v>50.6</v>
      </c>
      <c r="AP24" s="2">
        <f t="shared" si="25"/>
        <v>-0.79999999999999716</v>
      </c>
      <c r="AQ24" s="2">
        <f t="shared" si="26"/>
        <v>49.800000000000004</v>
      </c>
      <c r="AR24" s="2">
        <f t="shared" si="28"/>
        <v>-8.8000000000000043</v>
      </c>
      <c r="AS24" s="2">
        <f t="shared" si="29"/>
        <v>21.463414634146353</v>
      </c>
      <c r="AU24">
        <v>23</v>
      </c>
      <c r="AV24">
        <f t="shared" si="4"/>
        <v>36</v>
      </c>
      <c r="AW24">
        <f t="shared" si="22"/>
        <v>49.333333333333336</v>
      </c>
      <c r="AX24">
        <f t="shared" si="22"/>
        <v>50.44444444444445</v>
      </c>
      <c r="AY24">
        <f t="shared" si="32"/>
        <v>48.222222222222221</v>
      </c>
      <c r="AZ24">
        <f t="shared" si="30"/>
        <v>-2.2222222222222285</v>
      </c>
      <c r="BA24">
        <f t="shared" si="31"/>
        <v>45.999999999999993</v>
      </c>
      <c r="BB24">
        <f t="shared" si="33"/>
        <v>-4.9999999999999929</v>
      </c>
      <c r="BC24">
        <f t="shared" si="34"/>
        <v>12.195121951219495</v>
      </c>
    </row>
    <row r="25" spans="1:55" x14ac:dyDescent="0.35">
      <c r="A25">
        <v>24</v>
      </c>
      <c r="B25">
        <v>5</v>
      </c>
      <c r="D25">
        <v>24</v>
      </c>
      <c r="E25">
        <v>110.9</v>
      </c>
      <c r="G25">
        <v>24</v>
      </c>
      <c r="H25">
        <f t="shared" si="0"/>
        <v>41</v>
      </c>
      <c r="I25">
        <f t="shared" si="5"/>
        <v>38.5</v>
      </c>
      <c r="J25">
        <f t="shared" si="5"/>
        <v>41</v>
      </c>
      <c r="K25">
        <f t="shared" si="6"/>
        <v>36</v>
      </c>
      <c r="L25">
        <f t="shared" si="7"/>
        <v>-5</v>
      </c>
      <c r="M25">
        <f t="shared" si="8"/>
        <v>31</v>
      </c>
      <c r="Q25">
        <v>24</v>
      </c>
      <c r="R25">
        <f t="shared" si="1"/>
        <v>41</v>
      </c>
      <c r="S25">
        <f t="shared" si="11"/>
        <v>42.666666666666664</v>
      </c>
      <c r="T25">
        <f t="shared" si="11"/>
        <v>49.333333333333336</v>
      </c>
      <c r="U25">
        <f t="shared" si="13"/>
        <v>35.999999999999993</v>
      </c>
      <c r="V25">
        <f t="shared" si="14"/>
        <v>-13.333333333333343</v>
      </c>
      <c r="W25">
        <f t="shared" si="12"/>
        <v>22.66666666666665</v>
      </c>
      <c r="AA25">
        <v>24</v>
      </c>
      <c r="AB25">
        <f t="shared" si="2"/>
        <v>41</v>
      </c>
      <c r="AC25">
        <f t="shared" si="17"/>
        <v>47.25</v>
      </c>
      <c r="AD25">
        <f t="shared" si="17"/>
        <v>51.3125</v>
      </c>
      <c r="AE25">
        <f t="shared" si="19"/>
        <v>43.1875</v>
      </c>
      <c r="AF25">
        <f t="shared" si="20"/>
        <v>-8.125</v>
      </c>
      <c r="AG25">
        <f t="shared" si="21"/>
        <v>35.0625</v>
      </c>
      <c r="AK25" s="2">
        <v>24</v>
      </c>
      <c r="AL25" s="2">
        <f t="shared" si="3"/>
        <v>41</v>
      </c>
      <c r="AM25" s="2">
        <f t="shared" si="18"/>
        <v>49</v>
      </c>
      <c r="AN25" s="2">
        <f t="shared" si="18"/>
        <v>51.2</v>
      </c>
      <c r="AO25" s="2">
        <f t="shared" si="27"/>
        <v>46.8</v>
      </c>
      <c r="AP25" s="2">
        <f t="shared" si="25"/>
        <v>-4.4000000000000057</v>
      </c>
      <c r="AQ25" s="2">
        <f t="shared" si="26"/>
        <v>42.399999999999991</v>
      </c>
      <c r="AR25" s="2"/>
      <c r="AS25" s="2"/>
      <c r="AU25">
        <v>24</v>
      </c>
      <c r="AV25">
        <f t="shared" si="4"/>
        <v>41</v>
      </c>
      <c r="AW25">
        <f t="shared" si="22"/>
        <v>49.333333333333336</v>
      </c>
      <c r="AX25">
        <f t="shared" si="22"/>
        <v>50.583333333333336</v>
      </c>
      <c r="AY25">
        <f t="shared" si="32"/>
        <v>48.083333333333336</v>
      </c>
      <c r="AZ25">
        <f t="shared" si="30"/>
        <v>-2.5</v>
      </c>
      <c r="BA25">
        <f t="shared" si="31"/>
        <v>45.583333333333336</v>
      </c>
    </row>
    <row r="26" spans="1:55" x14ac:dyDescent="0.35">
      <c r="G26" t="s">
        <v>3</v>
      </c>
      <c r="O26">
        <f>AVERAGE(O4:O24)</f>
        <v>26.679186056109383</v>
      </c>
      <c r="Q26" t="s">
        <v>3</v>
      </c>
      <c r="Y26">
        <f>AVERAGE(Y6:Y24)</f>
        <v>24.39394831442252</v>
      </c>
      <c r="AA26" t="s">
        <v>3</v>
      </c>
      <c r="AI26">
        <f>AVERAGE(AI8:AI24)</f>
        <v>18.691450186923589</v>
      </c>
      <c r="AK26" s="2" t="s">
        <v>3</v>
      </c>
      <c r="AL26" s="2"/>
      <c r="AM26" s="2"/>
      <c r="AN26" s="2"/>
      <c r="AO26" s="2"/>
      <c r="AP26" s="2"/>
      <c r="AQ26" s="2"/>
      <c r="AR26" s="2"/>
      <c r="AS26" s="2">
        <f>AVERAGE(AS10:AS24)</f>
        <v>18.395514888403163</v>
      </c>
      <c r="AU26" t="s">
        <v>3</v>
      </c>
      <c r="BC26">
        <f>AVERAGE(BC12:BC24)</f>
        <v>20.585389183665978</v>
      </c>
    </row>
    <row r="27" spans="1:55" x14ac:dyDescent="0.35">
      <c r="G27" t="s">
        <v>6</v>
      </c>
      <c r="H27">
        <v>2</v>
      </c>
      <c r="Q27" t="s">
        <v>6</v>
      </c>
      <c r="R27">
        <v>3</v>
      </c>
      <c r="AA27" t="s">
        <v>6</v>
      </c>
      <c r="AB27">
        <v>4</v>
      </c>
      <c r="AK27" s="2" t="s">
        <v>6</v>
      </c>
      <c r="AL27" s="2">
        <v>5</v>
      </c>
      <c r="AM27" s="2"/>
      <c r="AN27" s="2"/>
      <c r="AO27" s="2"/>
      <c r="AP27" s="2"/>
      <c r="AQ27" s="2"/>
      <c r="AR27" s="2"/>
      <c r="AS27" s="2"/>
      <c r="AU27" t="s">
        <v>6</v>
      </c>
      <c r="AV27">
        <v>6</v>
      </c>
    </row>
    <row r="29" spans="1:55" x14ac:dyDescent="0.35">
      <c r="G29" t="s">
        <v>0</v>
      </c>
      <c r="H29" t="s">
        <v>2</v>
      </c>
      <c r="I29" t="s">
        <v>9</v>
      </c>
      <c r="J29" t="s">
        <v>10</v>
      </c>
      <c r="K29" t="s">
        <v>11</v>
      </c>
      <c r="L29" t="s">
        <v>12</v>
      </c>
      <c r="M29" t="s">
        <v>13</v>
      </c>
      <c r="N29" t="s">
        <v>7</v>
      </c>
      <c r="O29" t="s">
        <v>8</v>
      </c>
      <c r="Q29" t="s">
        <v>0</v>
      </c>
      <c r="R29" t="s">
        <v>2</v>
      </c>
      <c r="S29" t="s">
        <v>9</v>
      </c>
      <c r="T29" t="s">
        <v>10</v>
      </c>
      <c r="U29" t="s">
        <v>11</v>
      </c>
      <c r="V29" t="s">
        <v>12</v>
      </c>
      <c r="W29" t="s">
        <v>13</v>
      </c>
      <c r="X29" t="s">
        <v>7</v>
      </c>
      <c r="Y29" t="s">
        <v>8</v>
      </c>
      <c r="AA29" s="3" t="s">
        <v>0</v>
      </c>
      <c r="AB29" s="3" t="s">
        <v>2</v>
      </c>
      <c r="AC29" s="3" t="s">
        <v>9</v>
      </c>
      <c r="AD29" s="3" t="s">
        <v>10</v>
      </c>
      <c r="AE29" s="3" t="s">
        <v>11</v>
      </c>
      <c r="AF29" s="3" t="s">
        <v>12</v>
      </c>
      <c r="AG29" s="3" t="s">
        <v>13</v>
      </c>
      <c r="AH29" s="3" t="s">
        <v>7</v>
      </c>
      <c r="AI29" s="3" t="s">
        <v>8</v>
      </c>
      <c r="AK29" t="s">
        <v>0</v>
      </c>
      <c r="AL29" t="s">
        <v>2</v>
      </c>
      <c r="AM29" t="s">
        <v>9</v>
      </c>
      <c r="AN29" t="s">
        <v>10</v>
      </c>
      <c r="AO29" t="s">
        <v>11</v>
      </c>
      <c r="AP29" t="s">
        <v>12</v>
      </c>
      <c r="AQ29" t="s">
        <v>13</v>
      </c>
      <c r="AR29" t="s">
        <v>7</v>
      </c>
      <c r="AS29" t="s">
        <v>8</v>
      </c>
    </row>
    <row r="30" spans="1:55" x14ac:dyDescent="0.35">
      <c r="G30">
        <v>1</v>
      </c>
      <c r="H30">
        <f>E2+36</f>
        <v>128.80000000000001</v>
      </c>
      <c r="Q30">
        <v>1</v>
      </c>
      <c r="R30">
        <f>E2+36</f>
        <v>128.80000000000001</v>
      </c>
      <c r="AA30" s="2">
        <v>1</v>
      </c>
      <c r="AB30" s="2">
        <f>E2+36</f>
        <v>128.80000000000001</v>
      </c>
      <c r="AC30" s="2"/>
      <c r="AD30" s="2"/>
      <c r="AE30" s="2"/>
      <c r="AF30" s="2"/>
      <c r="AG30" s="2"/>
      <c r="AH30" s="2"/>
      <c r="AI30" s="2"/>
      <c r="AK30">
        <v>1</v>
      </c>
      <c r="AL30">
        <f>E2+36</f>
        <v>128.80000000000001</v>
      </c>
    </row>
    <row r="31" spans="1:55" x14ac:dyDescent="0.35">
      <c r="G31">
        <v>2</v>
      </c>
      <c r="H31">
        <f t="shared" ref="H31:H53" si="35">E3+36</f>
        <v>115.2</v>
      </c>
      <c r="I31">
        <f>AVERAGE(H30:H31)</f>
        <v>122</v>
      </c>
      <c r="Q31">
        <v>2</v>
      </c>
      <c r="R31">
        <f t="shared" ref="R31:R53" si="36">E3+36</f>
        <v>115.2</v>
      </c>
      <c r="AA31" s="2">
        <v>2</v>
      </c>
      <c r="AB31" s="2">
        <f t="shared" ref="AB31:AB53" si="37">E3+36</f>
        <v>115.2</v>
      </c>
      <c r="AC31" s="2"/>
      <c r="AD31" s="2"/>
      <c r="AE31" s="2"/>
      <c r="AF31" s="2"/>
      <c r="AG31" s="2"/>
      <c r="AH31" s="2"/>
      <c r="AI31" s="2"/>
      <c r="AK31">
        <v>2</v>
      </c>
      <c r="AL31">
        <f t="shared" ref="AL31:AL53" si="38">E3+36</f>
        <v>115.2</v>
      </c>
    </row>
    <row r="32" spans="1:55" x14ac:dyDescent="0.35">
      <c r="G32">
        <v>3</v>
      </c>
      <c r="H32">
        <f t="shared" si="35"/>
        <v>120.5</v>
      </c>
      <c r="I32">
        <f t="shared" ref="I32:J53" si="39">AVERAGE(H31:H32)</f>
        <v>117.85</v>
      </c>
      <c r="J32">
        <f>AVERAGE(I31:I32)</f>
        <v>119.925</v>
      </c>
      <c r="K32">
        <f>(2*I32)-J32</f>
        <v>115.77499999999999</v>
      </c>
      <c r="L32">
        <f>2*(I32-J32)</f>
        <v>-4.1500000000000057</v>
      </c>
      <c r="M32">
        <f>K32+L32</f>
        <v>111.62499999999999</v>
      </c>
      <c r="N32">
        <f>H33-M32</f>
        <v>7.3750000000000142</v>
      </c>
      <c r="O32">
        <f>(ABS(N32)/H33)*100</f>
        <v>6.1974789915966504</v>
      </c>
      <c r="Q32">
        <v>3</v>
      </c>
      <c r="R32">
        <f t="shared" si="36"/>
        <v>120.5</v>
      </c>
      <c r="S32">
        <f>AVERAGE(R30:R32)</f>
        <v>121.5</v>
      </c>
      <c r="AA32" s="2">
        <v>3</v>
      </c>
      <c r="AB32" s="2">
        <f t="shared" si="37"/>
        <v>120.5</v>
      </c>
      <c r="AC32" s="2"/>
      <c r="AD32" s="2"/>
      <c r="AE32" s="2"/>
      <c r="AF32" s="2"/>
      <c r="AG32" s="2"/>
      <c r="AH32" s="2"/>
      <c r="AI32" s="2"/>
      <c r="AK32">
        <v>3</v>
      </c>
      <c r="AL32">
        <f t="shared" si="38"/>
        <v>120.5</v>
      </c>
    </row>
    <row r="33" spans="7:45" x14ac:dyDescent="0.35">
      <c r="G33">
        <v>4</v>
      </c>
      <c r="H33">
        <f t="shared" si="35"/>
        <v>119</v>
      </c>
      <c r="I33">
        <f t="shared" si="39"/>
        <v>119.75</v>
      </c>
      <c r="J33">
        <f t="shared" si="39"/>
        <v>118.8</v>
      </c>
      <c r="K33">
        <f t="shared" ref="K33:K53" si="40">(2*I33)-J33</f>
        <v>120.7</v>
      </c>
      <c r="L33">
        <f t="shared" ref="L33:L53" si="41">2*(I33-J33)</f>
        <v>1.9000000000000057</v>
      </c>
      <c r="M33">
        <f t="shared" ref="M33:M53" si="42">K33+L33</f>
        <v>122.60000000000001</v>
      </c>
      <c r="N33">
        <f t="shared" ref="N33:N52" si="43">H34-M33</f>
        <v>1.4999999999999858</v>
      </c>
      <c r="O33">
        <f t="shared" ref="O33:O52" si="44">(ABS(N33)/H34)*100</f>
        <v>1.2087026591458387</v>
      </c>
      <c r="Q33">
        <v>4</v>
      </c>
      <c r="R33">
        <f t="shared" si="36"/>
        <v>119</v>
      </c>
      <c r="S33">
        <f t="shared" ref="S33" si="45">AVERAGE(R32:R33)</f>
        <v>119.75</v>
      </c>
      <c r="AA33" s="2">
        <v>4</v>
      </c>
      <c r="AB33" s="2">
        <f t="shared" si="37"/>
        <v>119</v>
      </c>
      <c r="AC33" s="2">
        <f>AVERAGE(AB30:AB33)</f>
        <v>120.875</v>
      </c>
      <c r="AD33" s="2"/>
      <c r="AE33" s="2"/>
      <c r="AF33" s="2"/>
      <c r="AG33" s="2"/>
      <c r="AH33" s="2"/>
      <c r="AI33" s="2"/>
      <c r="AK33">
        <v>4</v>
      </c>
      <c r="AL33">
        <f t="shared" si="38"/>
        <v>119</v>
      </c>
    </row>
    <row r="34" spans="7:45" x14ac:dyDescent="0.35">
      <c r="G34">
        <v>5</v>
      </c>
      <c r="H34">
        <f t="shared" si="35"/>
        <v>124.1</v>
      </c>
      <c r="I34">
        <f t="shared" si="39"/>
        <v>121.55</v>
      </c>
      <c r="J34">
        <f t="shared" si="39"/>
        <v>120.65</v>
      </c>
      <c r="K34">
        <f t="shared" si="40"/>
        <v>122.44999999999999</v>
      </c>
      <c r="L34">
        <f t="shared" si="41"/>
        <v>1.7999999999999829</v>
      </c>
      <c r="M34">
        <f t="shared" si="42"/>
        <v>124.24999999999997</v>
      </c>
      <c r="N34">
        <f t="shared" si="43"/>
        <v>-4.3499999999999659</v>
      </c>
      <c r="O34">
        <f t="shared" si="44"/>
        <v>3.6280233527939667</v>
      </c>
      <c r="Q34">
        <v>5</v>
      </c>
      <c r="R34">
        <f t="shared" si="36"/>
        <v>124.1</v>
      </c>
      <c r="S34">
        <f t="shared" ref="S34" si="46">AVERAGE(R33:R34)</f>
        <v>121.55</v>
      </c>
      <c r="T34">
        <f>AVERAGE(S32:S34)</f>
        <v>120.93333333333334</v>
      </c>
      <c r="U34">
        <f t="shared" ref="U34:U53" si="47">(2*S34)-T34</f>
        <v>122.16666666666666</v>
      </c>
      <c r="V34">
        <f t="shared" ref="V34:V53" si="48">2*(S34-T34)</f>
        <v>1.2333333333333201</v>
      </c>
      <c r="W34">
        <f t="shared" ref="W34:W53" si="49">U34+V34</f>
        <v>123.39999999999998</v>
      </c>
      <c r="X34">
        <f>R35-W34</f>
        <v>-3.4999999999999716</v>
      </c>
      <c r="Y34">
        <f>(ABS(X34)/R35)*100</f>
        <v>2.919099249374455</v>
      </c>
      <c r="AA34" s="2">
        <v>5</v>
      </c>
      <c r="AB34" s="2">
        <f t="shared" si="37"/>
        <v>124.1</v>
      </c>
      <c r="AC34" s="2">
        <f t="shared" ref="AC34:AD53" si="50">AVERAGE(AB31:AB34)</f>
        <v>119.69999999999999</v>
      </c>
      <c r="AD34" s="2"/>
      <c r="AE34" s="2"/>
      <c r="AF34" s="2"/>
      <c r="AG34" s="2"/>
      <c r="AH34" s="2"/>
      <c r="AI34" s="2"/>
      <c r="AK34">
        <v>5</v>
      </c>
      <c r="AL34">
        <f t="shared" si="38"/>
        <v>124.1</v>
      </c>
      <c r="AM34">
        <f>AVERAGE(AL30:AL34)</f>
        <v>121.52000000000001</v>
      </c>
    </row>
    <row r="35" spans="7:45" x14ac:dyDescent="0.35">
      <c r="G35">
        <v>6</v>
      </c>
      <c r="H35">
        <f t="shared" si="35"/>
        <v>119.9</v>
      </c>
      <c r="I35">
        <f t="shared" si="39"/>
        <v>122</v>
      </c>
      <c r="J35">
        <f t="shared" si="39"/>
        <v>121.77500000000001</v>
      </c>
      <c r="K35">
        <f t="shared" si="40"/>
        <v>122.22499999999999</v>
      </c>
      <c r="L35">
        <f t="shared" si="41"/>
        <v>0.44999999999998863</v>
      </c>
      <c r="M35">
        <f t="shared" si="42"/>
        <v>122.67499999999998</v>
      </c>
      <c r="N35">
        <f t="shared" si="43"/>
        <v>-6.7749999999999773</v>
      </c>
      <c r="O35">
        <f t="shared" si="44"/>
        <v>5.8455565142363906</v>
      </c>
      <c r="Q35">
        <v>6</v>
      </c>
      <c r="R35">
        <f t="shared" si="36"/>
        <v>119.9</v>
      </c>
      <c r="S35">
        <f t="shared" ref="S35" si="51">AVERAGE(R34:R35)</f>
        <v>122</v>
      </c>
      <c r="T35">
        <f t="shared" ref="T35:T53" si="52">AVERAGE(S33:S35)</f>
        <v>121.10000000000001</v>
      </c>
      <c r="U35">
        <f t="shared" si="47"/>
        <v>122.89999999999999</v>
      </c>
      <c r="V35">
        <f t="shared" si="48"/>
        <v>1.7999999999999829</v>
      </c>
      <c r="W35">
        <f t="shared" si="49"/>
        <v>124.69999999999997</v>
      </c>
      <c r="X35">
        <f t="shared" ref="X35:X52" si="53">R36-W35</f>
        <v>-8.7999999999999687</v>
      </c>
      <c r="Y35">
        <f t="shared" ref="Y35:Y52" si="54">(ABS(X35)/R36)*100</f>
        <v>7.5927523727350881</v>
      </c>
      <c r="AA35" s="2">
        <v>6</v>
      </c>
      <c r="AB35" s="2">
        <f t="shared" si="37"/>
        <v>119.9</v>
      </c>
      <c r="AC35" s="2">
        <f t="shared" si="50"/>
        <v>120.875</v>
      </c>
      <c r="AD35" s="2"/>
      <c r="AE35" s="2"/>
      <c r="AF35" s="2"/>
      <c r="AG35" s="2"/>
      <c r="AH35" s="2"/>
      <c r="AI35" s="2"/>
      <c r="AK35">
        <v>6</v>
      </c>
      <c r="AL35">
        <f t="shared" si="38"/>
        <v>119.9</v>
      </c>
      <c r="AM35">
        <f t="shared" ref="AM35:AN53" si="55">AVERAGE(AL31:AL35)</f>
        <v>119.73999999999998</v>
      </c>
    </row>
    <row r="36" spans="7:45" x14ac:dyDescent="0.35">
      <c r="G36">
        <v>7</v>
      </c>
      <c r="H36">
        <f t="shared" si="35"/>
        <v>115.9</v>
      </c>
      <c r="I36">
        <f t="shared" si="39"/>
        <v>117.9</v>
      </c>
      <c r="J36">
        <f t="shared" si="39"/>
        <v>119.95</v>
      </c>
      <c r="K36">
        <f t="shared" si="40"/>
        <v>115.85000000000001</v>
      </c>
      <c r="L36">
        <f t="shared" si="41"/>
        <v>-4.0999999999999943</v>
      </c>
      <c r="M36">
        <f t="shared" si="42"/>
        <v>111.75000000000001</v>
      </c>
      <c r="N36">
        <f t="shared" si="43"/>
        <v>5.3499999999999801</v>
      </c>
      <c r="O36">
        <f t="shared" si="44"/>
        <v>4.5687446626814525</v>
      </c>
      <c r="Q36">
        <v>7</v>
      </c>
      <c r="R36">
        <f t="shared" si="36"/>
        <v>115.9</v>
      </c>
      <c r="S36">
        <f t="shared" ref="S36" si="56">AVERAGE(R35:R36)</f>
        <v>117.9</v>
      </c>
      <c r="T36">
        <f t="shared" si="52"/>
        <v>120.48333333333335</v>
      </c>
      <c r="U36">
        <f t="shared" si="47"/>
        <v>115.31666666666666</v>
      </c>
      <c r="V36">
        <f t="shared" si="48"/>
        <v>-5.1666666666666856</v>
      </c>
      <c r="W36">
        <f t="shared" si="49"/>
        <v>110.14999999999998</v>
      </c>
      <c r="X36">
        <f t="shared" si="53"/>
        <v>6.9500000000000171</v>
      </c>
      <c r="Y36">
        <f t="shared" si="54"/>
        <v>5.9350982066609879</v>
      </c>
      <c r="AA36" s="2">
        <v>7</v>
      </c>
      <c r="AB36" s="2">
        <f t="shared" si="37"/>
        <v>115.9</v>
      </c>
      <c r="AC36" s="2">
        <f t="shared" si="50"/>
        <v>119.72499999999999</v>
      </c>
      <c r="AD36" s="2">
        <f>AVERAGE(AC33:AC36)</f>
        <v>120.29374999999999</v>
      </c>
      <c r="AE36" s="2">
        <f t="shared" ref="AE36:AE53" si="57">(2*AC36)-AD36</f>
        <v>119.15625</v>
      </c>
      <c r="AF36" s="2">
        <f t="shared" ref="AF36:AF53" si="58">2*(AC36-AD36)</f>
        <v>-1.1374999999999886</v>
      </c>
      <c r="AG36" s="2">
        <f t="shared" ref="AG36:AG53" si="59">AE36+AF36</f>
        <v>118.01875000000001</v>
      </c>
      <c r="AH36" s="2">
        <f>AB37-AG36</f>
        <v>-0.91875000000001705</v>
      </c>
      <c r="AI36" s="2">
        <f>(ABS(AH36)/AB37)*100</f>
        <v>0.78458582408199584</v>
      </c>
      <c r="AK36">
        <v>7</v>
      </c>
      <c r="AL36">
        <f t="shared" si="38"/>
        <v>115.9</v>
      </c>
      <c r="AM36">
        <f t="shared" si="55"/>
        <v>119.88</v>
      </c>
    </row>
    <row r="37" spans="7:45" x14ac:dyDescent="0.35">
      <c r="G37">
        <v>8</v>
      </c>
      <c r="H37">
        <f t="shared" si="35"/>
        <v>117.1</v>
      </c>
      <c r="I37">
        <f t="shared" si="39"/>
        <v>116.5</v>
      </c>
      <c r="J37">
        <f t="shared" si="39"/>
        <v>117.2</v>
      </c>
      <c r="K37">
        <f t="shared" si="40"/>
        <v>115.8</v>
      </c>
      <c r="L37">
        <f t="shared" si="41"/>
        <v>-1.4000000000000057</v>
      </c>
      <c r="M37">
        <f t="shared" si="42"/>
        <v>114.39999999999999</v>
      </c>
      <c r="N37">
        <f t="shared" si="43"/>
        <v>8.0000000000000142</v>
      </c>
      <c r="O37">
        <f t="shared" si="44"/>
        <v>6.5359477124183121</v>
      </c>
      <c r="Q37">
        <v>8</v>
      </c>
      <c r="R37">
        <f t="shared" si="36"/>
        <v>117.1</v>
      </c>
      <c r="S37">
        <f t="shared" ref="S37" si="60">AVERAGE(R36:R37)</f>
        <v>116.5</v>
      </c>
      <c r="T37">
        <f t="shared" si="52"/>
        <v>118.8</v>
      </c>
      <c r="U37">
        <f t="shared" si="47"/>
        <v>114.2</v>
      </c>
      <c r="V37">
        <f t="shared" si="48"/>
        <v>-4.5999999999999943</v>
      </c>
      <c r="W37">
        <f t="shared" si="49"/>
        <v>109.60000000000001</v>
      </c>
      <c r="X37">
        <f t="shared" si="53"/>
        <v>12.799999999999997</v>
      </c>
      <c r="Y37">
        <f t="shared" si="54"/>
        <v>10.457516339869279</v>
      </c>
      <c r="AA37" s="2">
        <v>8</v>
      </c>
      <c r="AB37" s="2">
        <f t="shared" si="37"/>
        <v>117.1</v>
      </c>
      <c r="AC37" s="2">
        <f t="shared" si="50"/>
        <v>119.25</v>
      </c>
      <c r="AD37" s="2">
        <f t="shared" si="50"/>
        <v>119.88749999999999</v>
      </c>
      <c r="AE37" s="2">
        <f t="shared" si="57"/>
        <v>118.61250000000001</v>
      </c>
      <c r="AF37" s="2">
        <f t="shared" si="58"/>
        <v>-1.2749999999999773</v>
      </c>
      <c r="AG37" s="2">
        <f t="shared" si="59"/>
        <v>117.33750000000003</v>
      </c>
      <c r="AH37" s="2">
        <f t="shared" ref="AH37:AH52" si="61">AB38-AG37</f>
        <v>5.0624999999999716</v>
      </c>
      <c r="AI37" s="2">
        <f t="shared" ref="AI37:AI52" si="62">(ABS(AH37)/AB38)*100</f>
        <v>4.1360294117646825</v>
      </c>
      <c r="AK37">
        <v>8</v>
      </c>
      <c r="AL37">
        <f t="shared" si="38"/>
        <v>117.1</v>
      </c>
      <c r="AM37">
        <f t="shared" si="55"/>
        <v>119.2</v>
      </c>
    </row>
    <row r="38" spans="7:45" x14ac:dyDescent="0.35">
      <c r="G38">
        <v>9</v>
      </c>
      <c r="H38">
        <f t="shared" si="35"/>
        <v>122.4</v>
      </c>
      <c r="I38">
        <f t="shared" si="39"/>
        <v>119.75</v>
      </c>
      <c r="J38">
        <f t="shared" si="39"/>
        <v>118.125</v>
      </c>
      <c r="K38">
        <f t="shared" si="40"/>
        <v>121.375</v>
      </c>
      <c r="L38">
        <f t="shared" si="41"/>
        <v>3.25</v>
      </c>
      <c r="M38">
        <f t="shared" si="42"/>
        <v>124.625</v>
      </c>
      <c r="N38">
        <f t="shared" si="43"/>
        <v>-2.3250000000000028</v>
      </c>
      <c r="O38">
        <f t="shared" si="44"/>
        <v>1.9010629599345894</v>
      </c>
      <c r="Q38">
        <v>9</v>
      </c>
      <c r="R38">
        <f t="shared" si="36"/>
        <v>122.4</v>
      </c>
      <c r="S38">
        <f t="shared" ref="S38" si="63">AVERAGE(R37:R38)</f>
        <v>119.75</v>
      </c>
      <c r="T38">
        <f t="shared" si="52"/>
        <v>118.05</v>
      </c>
      <c r="U38">
        <f t="shared" si="47"/>
        <v>121.45</v>
      </c>
      <c r="V38">
        <f t="shared" si="48"/>
        <v>3.4000000000000057</v>
      </c>
      <c r="W38">
        <f t="shared" si="49"/>
        <v>124.85000000000001</v>
      </c>
      <c r="X38">
        <f t="shared" si="53"/>
        <v>-2.5500000000000114</v>
      </c>
      <c r="Y38">
        <f t="shared" si="54"/>
        <v>2.0850367947669755</v>
      </c>
      <c r="AA38" s="2">
        <v>9</v>
      </c>
      <c r="AB38" s="2">
        <f t="shared" si="37"/>
        <v>122.4</v>
      </c>
      <c r="AC38" s="2">
        <f t="shared" si="50"/>
        <v>118.82499999999999</v>
      </c>
      <c r="AD38" s="2">
        <f t="shared" si="50"/>
        <v>119.66875</v>
      </c>
      <c r="AE38" s="2">
        <f t="shared" si="57"/>
        <v>117.98124999999997</v>
      </c>
      <c r="AF38" s="2">
        <f t="shared" si="58"/>
        <v>-1.6875000000000284</v>
      </c>
      <c r="AG38" s="2">
        <f t="shared" si="59"/>
        <v>116.29374999999995</v>
      </c>
      <c r="AH38" s="2">
        <f t="shared" si="61"/>
        <v>6.0062500000000512</v>
      </c>
      <c r="AI38" s="2">
        <f t="shared" si="62"/>
        <v>4.9110793131643922</v>
      </c>
      <c r="AK38">
        <v>9</v>
      </c>
      <c r="AL38">
        <f t="shared" si="38"/>
        <v>122.4</v>
      </c>
      <c r="AM38">
        <f t="shared" si="55"/>
        <v>119.88</v>
      </c>
      <c r="AN38">
        <f>AVERAGE(AM34:AM38)</f>
        <v>120.04400000000001</v>
      </c>
      <c r="AO38">
        <f>(2*AM38)-AN38</f>
        <v>119.71599999999998</v>
      </c>
      <c r="AP38">
        <f t="shared" ref="AP38:AP53" si="64">2*(AM38-AN38)</f>
        <v>-0.32800000000003138</v>
      </c>
      <c r="AQ38">
        <f t="shared" ref="AQ38:AQ53" si="65">AO38+AP38</f>
        <v>119.38799999999995</v>
      </c>
      <c r="AR38">
        <f>AL39-AQ38</f>
        <v>2.9120000000000488</v>
      </c>
      <c r="AS38">
        <f>(ABS(AR38)/AL39)*100</f>
        <v>2.3810302534751013</v>
      </c>
    </row>
    <row r="39" spans="7:45" x14ac:dyDescent="0.35">
      <c r="G39">
        <v>10</v>
      </c>
      <c r="H39">
        <f t="shared" si="35"/>
        <v>122.3</v>
      </c>
      <c r="I39">
        <f t="shared" si="39"/>
        <v>122.35</v>
      </c>
      <c r="J39">
        <f t="shared" si="39"/>
        <v>121.05</v>
      </c>
      <c r="K39">
        <f t="shared" si="40"/>
        <v>123.64999999999999</v>
      </c>
      <c r="L39">
        <f t="shared" si="41"/>
        <v>2.5999999999999943</v>
      </c>
      <c r="M39">
        <f t="shared" si="42"/>
        <v>126.24999999999999</v>
      </c>
      <c r="N39">
        <f t="shared" si="43"/>
        <v>-8.3499999999999801</v>
      </c>
      <c r="O39">
        <f t="shared" si="44"/>
        <v>7.0822731128074468</v>
      </c>
      <c r="Q39">
        <v>10</v>
      </c>
      <c r="R39">
        <f t="shared" si="36"/>
        <v>122.3</v>
      </c>
      <c r="S39">
        <f t="shared" ref="S39" si="66">AVERAGE(R38:R39)</f>
        <v>122.35</v>
      </c>
      <c r="T39">
        <f t="shared" si="52"/>
        <v>119.53333333333335</v>
      </c>
      <c r="U39">
        <f t="shared" si="47"/>
        <v>125.16666666666664</v>
      </c>
      <c r="V39">
        <f t="shared" si="48"/>
        <v>5.6333333333332973</v>
      </c>
      <c r="W39">
        <f t="shared" si="49"/>
        <v>130.79999999999995</v>
      </c>
      <c r="X39">
        <f t="shared" si="53"/>
        <v>-12.899999999999949</v>
      </c>
      <c r="Y39">
        <f t="shared" si="54"/>
        <v>10.941475826971967</v>
      </c>
      <c r="AA39" s="2">
        <v>10</v>
      </c>
      <c r="AB39" s="2">
        <f t="shared" si="37"/>
        <v>122.3</v>
      </c>
      <c r="AC39" s="2">
        <f t="shared" si="50"/>
        <v>119.425</v>
      </c>
      <c r="AD39" s="2">
        <f t="shared" si="50"/>
        <v>119.30624999999999</v>
      </c>
      <c r="AE39" s="2">
        <f t="shared" si="57"/>
        <v>119.54375</v>
      </c>
      <c r="AF39" s="2">
        <f t="shared" si="58"/>
        <v>0.23750000000001137</v>
      </c>
      <c r="AG39" s="2">
        <f t="shared" si="59"/>
        <v>119.78125000000001</v>
      </c>
      <c r="AH39" s="2">
        <f t="shared" si="61"/>
        <v>-1.8812500000000085</v>
      </c>
      <c r="AI39" s="2">
        <f t="shared" si="62"/>
        <v>1.5956318914334255</v>
      </c>
      <c r="AK39">
        <v>10</v>
      </c>
      <c r="AL39">
        <f t="shared" si="38"/>
        <v>122.3</v>
      </c>
      <c r="AM39">
        <f t="shared" si="55"/>
        <v>119.51999999999998</v>
      </c>
      <c r="AN39">
        <f t="shared" si="55"/>
        <v>119.64400000000001</v>
      </c>
      <c r="AO39">
        <f t="shared" ref="AO39:AO53" si="67">(2*AM39)-AN39</f>
        <v>119.39599999999996</v>
      </c>
      <c r="AP39">
        <f t="shared" si="64"/>
        <v>-0.24800000000004729</v>
      </c>
      <c r="AQ39">
        <f t="shared" si="65"/>
        <v>119.14799999999991</v>
      </c>
      <c r="AR39">
        <f t="shared" ref="AR39:AR52" si="68">AL40-AQ39</f>
        <v>-1.2479999999999052</v>
      </c>
      <c r="AS39">
        <f t="shared" ref="AS39:AS52" si="69">(ABS(AR39)/AL40)*100</f>
        <v>1.0585241730279094</v>
      </c>
    </row>
    <row r="40" spans="7:45" x14ac:dyDescent="0.35">
      <c r="G40">
        <v>11</v>
      </c>
      <c r="H40">
        <f t="shared" si="35"/>
        <v>117.9</v>
      </c>
      <c r="I40">
        <f t="shared" si="39"/>
        <v>120.1</v>
      </c>
      <c r="J40">
        <f t="shared" si="39"/>
        <v>121.22499999999999</v>
      </c>
      <c r="K40">
        <f t="shared" si="40"/>
        <v>118.97499999999999</v>
      </c>
      <c r="L40">
        <f t="shared" si="41"/>
        <v>-2.25</v>
      </c>
      <c r="M40">
        <f t="shared" si="42"/>
        <v>116.72499999999999</v>
      </c>
      <c r="N40">
        <f t="shared" si="43"/>
        <v>9.875</v>
      </c>
      <c r="O40">
        <f t="shared" si="44"/>
        <v>7.8001579778830976</v>
      </c>
      <c r="Q40">
        <v>11</v>
      </c>
      <c r="R40">
        <f t="shared" si="36"/>
        <v>117.9</v>
      </c>
      <c r="S40">
        <f t="shared" ref="S40" si="70">AVERAGE(R39:R40)</f>
        <v>120.1</v>
      </c>
      <c r="T40">
        <f t="shared" si="52"/>
        <v>120.73333333333333</v>
      </c>
      <c r="U40">
        <f t="shared" si="47"/>
        <v>119.46666666666665</v>
      </c>
      <c r="V40">
        <f t="shared" si="48"/>
        <v>-1.2666666666666799</v>
      </c>
      <c r="W40">
        <f t="shared" si="49"/>
        <v>118.19999999999997</v>
      </c>
      <c r="X40">
        <f t="shared" si="53"/>
        <v>8.4000000000000199</v>
      </c>
      <c r="Y40">
        <f t="shared" si="54"/>
        <v>6.6350710900474095</v>
      </c>
      <c r="AA40" s="2">
        <v>11</v>
      </c>
      <c r="AB40" s="2">
        <f t="shared" si="37"/>
        <v>117.9</v>
      </c>
      <c r="AC40" s="2">
        <f t="shared" si="50"/>
        <v>119.92500000000001</v>
      </c>
      <c r="AD40" s="2">
        <f t="shared" si="50"/>
        <v>119.35625</v>
      </c>
      <c r="AE40" s="2">
        <f t="shared" si="57"/>
        <v>120.49375000000002</v>
      </c>
      <c r="AF40" s="2">
        <f t="shared" si="58"/>
        <v>1.1375000000000171</v>
      </c>
      <c r="AG40" s="2">
        <f t="shared" si="59"/>
        <v>121.63125000000004</v>
      </c>
      <c r="AH40" s="2">
        <f t="shared" si="61"/>
        <v>4.9687499999999574</v>
      </c>
      <c r="AI40" s="2">
        <f t="shared" si="62"/>
        <v>3.924763033175322</v>
      </c>
      <c r="AK40">
        <v>11</v>
      </c>
      <c r="AL40">
        <f t="shared" si="38"/>
        <v>117.9</v>
      </c>
      <c r="AM40">
        <f t="shared" si="55"/>
        <v>119.12</v>
      </c>
      <c r="AN40">
        <f t="shared" si="55"/>
        <v>119.51999999999998</v>
      </c>
      <c r="AO40">
        <f t="shared" si="67"/>
        <v>118.72000000000003</v>
      </c>
      <c r="AP40">
        <f t="shared" si="64"/>
        <v>-0.79999999999995453</v>
      </c>
      <c r="AQ40">
        <f t="shared" si="65"/>
        <v>117.92000000000007</v>
      </c>
      <c r="AR40">
        <f t="shared" si="68"/>
        <v>8.6799999999999216</v>
      </c>
      <c r="AS40">
        <f t="shared" si="69"/>
        <v>6.8562401263822448</v>
      </c>
    </row>
    <row r="41" spans="7:45" x14ac:dyDescent="0.35">
      <c r="G41">
        <v>12</v>
      </c>
      <c r="H41">
        <f t="shared" si="35"/>
        <v>126.6</v>
      </c>
      <c r="I41">
        <f t="shared" si="39"/>
        <v>122.25</v>
      </c>
      <c r="J41">
        <f t="shared" si="39"/>
        <v>121.175</v>
      </c>
      <c r="K41">
        <f t="shared" si="40"/>
        <v>123.325</v>
      </c>
      <c r="L41">
        <f t="shared" si="41"/>
        <v>2.1500000000000057</v>
      </c>
      <c r="M41">
        <f t="shared" si="42"/>
        <v>125.47500000000001</v>
      </c>
      <c r="N41">
        <f t="shared" si="43"/>
        <v>1.9249999999999972</v>
      </c>
      <c r="O41">
        <f t="shared" si="44"/>
        <v>1.5109890109890087</v>
      </c>
      <c r="Q41">
        <v>12</v>
      </c>
      <c r="R41">
        <f t="shared" si="36"/>
        <v>126.6</v>
      </c>
      <c r="S41">
        <f t="shared" ref="S41" si="71">AVERAGE(R40:R41)</f>
        <v>122.25</v>
      </c>
      <c r="T41">
        <f t="shared" si="52"/>
        <v>121.56666666666666</v>
      </c>
      <c r="U41">
        <f t="shared" si="47"/>
        <v>122.93333333333334</v>
      </c>
      <c r="V41">
        <f t="shared" si="48"/>
        <v>1.3666666666666742</v>
      </c>
      <c r="W41">
        <f t="shared" si="49"/>
        <v>124.30000000000001</v>
      </c>
      <c r="X41">
        <f t="shared" si="53"/>
        <v>3.0999999999999943</v>
      </c>
      <c r="Y41">
        <f t="shared" si="54"/>
        <v>2.4332810047095714</v>
      </c>
      <c r="AA41" s="2">
        <v>12</v>
      </c>
      <c r="AB41" s="2">
        <f t="shared" si="37"/>
        <v>126.6</v>
      </c>
      <c r="AC41" s="2">
        <f t="shared" si="50"/>
        <v>122.30000000000001</v>
      </c>
      <c r="AD41" s="2">
        <f t="shared" si="50"/>
        <v>120.11875000000001</v>
      </c>
      <c r="AE41" s="2">
        <f t="shared" si="57"/>
        <v>124.48125000000002</v>
      </c>
      <c r="AF41" s="2">
        <f t="shared" si="58"/>
        <v>4.3625000000000114</v>
      </c>
      <c r="AG41" s="2">
        <f t="shared" si="59"/>
        <v>128.84375000000003</v>
      </c>
      <c r="AH41" s="2">
        <f t="shared" si="61"/>
        <v>-1.4437500000000227</v>
      </c>
      <c r="AI41" s="2">
        <f t="shared" si="62"/>
        <v>1.133241758241776</v>
      </c>
      <c r="AK41">
        <v>12</v>
      </c>
      <c r="AL41">
        <f t="shared" si="38"/>
        <v>126.6</v>
      </c>
      <c r="AM41">
        <f t="shared" si="55"/>
        <v>121.26000000000002</v>
      </c>
      <c r="AN41">
        <f t="shared" si="55"/>
        <v>119.79600000000001</v>
      </c>
      <c r="AO41">
        <f t="shared" si="67"/>
        <v>122.72400000000003</v>
      </c>
      <c r="AP41">
        <f t="shared" si="64"/>
        <v>2.9280000000000257</v>
      </c>
      <c r="AQ41">
        <f t="shared" si="65"/>
        <v>125.65200000000006</v>
      </c>
      <c r="AR41">
        <f t="shared" si="68"/>
        <v>1.7479999999999478</v>
      </c>
      <c r="AS41">
        <f t="shared" si="69"/>
        <v>1.3720565149136168</v>
      </c>
    </row>
    <row r="42" spans="7:45" x14ac:dyDescent="0.35">
      <c r="G42">
        <v>13</v>
      </c>
      <c r="H42">
        <f t="shared" si="35"/>
        <v>127.4</v>
      </c>
      <c r="I42">
        <f t="shared" si="39"/>
        <v>127</v>
      </c>
      <c r="J42">
        <f t="shared" si="39"/>
        <v>124.625</v>
      </c>
      <c r="K42">
        <f t="shared" si="40"/>
        <v>129.375</v>
      </c>
      <c r="L42">
        <f t="shared" si="41"/>
        <v>4.75</v>
      </c>
      <c r="M42">
        <f t="shared" si="42"/>
        <v>134.125</v>
      </c>
      <c r="N42">
        <f t="shared" si="43"/>
        <v>-9.625</v>
      </c>
      <c r="O42">
        <f t="shared" si="44"/>
        <v>7.7309236947791167</v>
      </c>
      <c r="Q42">
        <v>13</v>
      </c>
      <c r="R42">
        <f t="shared" si="36"/>
        <v>127.4</v>
      </c>
      <c r="S42">
        <f t="shared" ref="S42" si="72">AVERAGE(R41:R42)</f>
        <v>127</v>
      </c>
      <c r="T42">
        <f t="shared" si="52"/>
        <v>123.11666666666667</v>
      </c>
      <c r="U42">
        <f t="shared" si="47"/>
        <v>130.88333333333333</v>
      </c>
      <c r="V42">
        <f t="shared" si="48"/>
        <v>7.7666666666666515</v>
      </c>
      <c r="W42">
        <f t="shared" si="49"/>
        <v>138.64999999999998</v>
      </c>
      <c r="X42">
        <f t="shared" si="53"/>
        <v>-14.149999999999977</v>
      </c>
      <c r="Y42">
        <f t="shared" si="54"/>
        <v>11.36546184738954</v>
      </c>
      <c r="AA42" s="2">
        <v>13</v>
      </c>
      <c r="AB42" s="2">
        <f t="shared" si="37"/>
        <v>127.4</v>
      </c>
      <c r="AC42" s="2">
        <f t="shared" si="50"/>
        <v>123.54999999999998</v>
      </c>
      <c r="AD42" s="2">
        <f t="shared" si="50"/>
        <v>121.30000000000001</v>
      </c>
      <c r="AE42" s="2">
        <f t="shared" si="57"/>
        <v>125.79999999999995</v>
      </c>
      <c r="AF42" s="2">
        <f t="shared" si="58"/>
        <v>4.4999999999999432</v>
      </c>
      <c r="AG42" s="2">
        <f t="shared" si="59"/>
        <v>130.2999999999999</v>
      </c>
      <c r="AH42" s="2">
        <f t="shared" si="61"/>
        <v>-5.7999999999998977</v>
      </c>
      <c r="AI42" s="2">
        <f t="shared" si="62"/>
        <v>4.658634538152528</v>
      </c>
      <c r="AK42">
        <v>13</v>
      </c>
      <c r="AL42">
        <f t="shared" si="38"/>
        <v>127.4</v>
      </c>
      <c r="AM42">
        <f t="shared" si="55"/>
        <v>123.32000000000001</v>
      </c>
      <c r="AN42">
        <f t="shared" si="55"/>
        <v>120.62</v>
      </c>
      <c r="AO42">
        <f t="shared" si="67"/>
        <v>126.02000000000001</v>
      </c>
      <c r="AP42">
        <f t="shared" si="64"/>
        <v>5.4000000000000057</v>
      </c>
      <c r="AQ42">
        <f t="shared" si="65"/>
        <v>131.42000000000002</v>
      </c>
      <c r="AR42">
        <f t="shared" si="68"/>
        <v>-6.9200000000000159</v>
      </c>
      <c r="AS42">
        <f t="shared" si="69"/>
        <v>5.5582329317269208</v>
      </c>
    </row>
    <row r="43" spans="7:45" x14ac:dyDescent="0.35">
      <c r="G43">
        <v>14</v>
      </c>
      <c r="H43">
        <f t="shared" si="35"/>
        <v>124.5</v>
      </c>
      <c r="I43">
        <f t="shared" si="39"/>
        <v>125.95</v>
      </c>
      <c r="J43">
        <f t="shared" si="39"/>
        <v>126.47499999999999</v>
      </c>
      <c r="K43">
        <f t="shared" si="40"/>
        <v>125.42500000000001</v>
      </c>
      <c r="L43">
        <f t="shared" si="41"/>
        <v>-1.0499999999999829</v>
      </c>
      <c r="M43">
        <f t="shared" si="42"/>
        <v>124.37500000000003</v>
      </c>
      <c r="N43">
        <f t="shared" si="43"/>
        <v>5.1249999999999716</v>
      </c>
      <c r="O43">
        <f t="shared" si="44"/>
        <v>3.9575289575289356</v>
      </c>
      <c r="Q43">
        <v>14</v>
      </c>
      <c r="R43">
        <f t="shared" si="36"/>
        <v>124.5</v>
      </c>
      <c r="S43">
        <f t="shared" ref="S43" si="73">AVERAGE(R42:R43)</f>
        <v>125.95</v>
      </c>
      <c r="T43">
        <f t="shared" si="52"/>
        <v>125.06666666666666</v>
      </c>
      <c r="U43">
        <f t="shared" si="47"/>
        <v>126.83333333333334</v>
      </c>
      <c r="V43">
        <f t="shared" si="48"/>
        <v>1.7666666666666799</v>
      </c>
      <c r="W43">
        <f t="shared" si="49"/>
        <v>128.60000000000002</v>
      </c>
      <c r="X43">
        <f t="shared" si="53"/>
        <v>0.89999999999997726</v>
      </c>
      <c r="Y43">
        <f t="shared" si="54"/>
        <v>0.69498069498067738</v>
      </c>
      <c r="AA43" s="2">
        <v>14</v>
      </c>
      <c r="AB43" s="2">
        <f t="shared" si="37"/>
        <v>124.5</v>
      </c>
      <c r="AC43" s="2">
        <f t="shared" si="50"/>
        <v>124.1</v>
      </c>
      <c r="AD43" s="2">
        <f t="shared" si="50"/>
        <v>122.46875</v>
      </c>
      <c r="AE43" s="2">
        <f t="shared" si="57"/>
        <v>125.73124999999999</v>
      </c>
      <c r="AF43" s="2">
        <f t="shared" si="58"/>
        <v>3.2624999999999886</v>
      </c>
      <c r="AG43" s="2">
        <f t="shared" si="59"/>
        <v>128.99374999999998</v>
      </c>
      <c r="AH43" s="2">
        <f t="shared" si="61"/>
        <v>0.50625000000002274</v>
      </c>
      <c r="AI43" s="2">
        <f t="shared" si="62"/>
        <v>0.39092664092665846</v>
      </c>
      <c r="AK43">
        <v>14</v>
      </c>
      <c r="AL43">
        <f t="shared" si="38"/>
        <v>124.5</v>
      </c>
      <c r="AM43">
        <f t="shared" si="55"/>
        <v>123.73999999999998</v>
      </c>
      <c r="AN43">
        <f t="shared" si="55"/>
        <v>121.39199999999998</v>
      </c>
      <c r="AO43">
        <f t="shared" si="67"/>
        <v>126.08799999999998</v>
      </c>
      <c r="AP43">
        <f t="shared" si="64"/>
        <v>4.695999999999998</v>
      </c>
      <c r="AQ43">
        <f t="shared" si="65"/>
        <v>130.78399999999999</v>
      </c>
      <c r="AR43">
        <f t="shared" si="68"/>
        <v>-1.2839999999999918</v>
      </c>
      <c r="AS43">
        <f t="shared" si="69"/>
        <v>0.99150579150578522</v>
      </c>
    </row>
    <row r="44" spans="7:45" x14ac:dyDescent="0.35">
      <c r="G44">
        <v>15</v>
      </c>
      <c r="H44">
        <f t="shared" si="35"/>
        <v>129.5</v>
      </c>
      <c r="I44">
        <f t="shared" si="39"/>
        <v>127</v>
      </c>
      <c r="J44">
        <f t="shared" si="39"/>
        <v>126.47499999999999</v>
      </c>
      <c r="K44">
        <f t="shared" si="40"/>
        <v>127.52500000000001</v>
      </c>
      <c r="L44">
        <f t="shared" si="41"/>
        <v>1.0500000000000114</v>
      </c>
      <c r="M44">
        <f t="shared" si="42"/>
        <v>128.57500000000002</v>
      </c>
      <c r="N44">
        <f t="shared" si="43"/>
        <v>12.424999999999983</v>
      </c>
      <c r="O44">
        <f t="shared" si="44"/>
        <v>8.8120567375886409</v>
      </c>
      <c r="Q44">
        <v>15</v>
      </c>
      <c r="R44">
        <f t="shared" si="36"/>
        <v>129.5</v>
      </c>
      <c r="S44">
        <f t="shared" ref="S44" si="74">AVERAGE(R43:R44)</f>
        <v>127</v>
      </c>
      <c r="T44">
        <f t="shared" si="52"/>
        <v>126.64999999999999</v>
      </c>
      <c r="U44">
        <f t="shared" si="47"/>
        <v>127.35000000000001</v>
      </c>
      <c r="V44">
        <f t="shared" si="48"/>
        <v>0.70000000000001705</v>
      </c>
      <c r="W44">
        <f t="shared" si="49"/>
        <v>128.05000000000001</v>
      </c>
      <c r="X44">
        <f t="shared" si="53"/>
        <v>12.949999999999989</v>
      </c>
      <c r="Y44">
        <f t="shared" si="54"/>
        <v>9.1843971631205594</v>
      </c>
      <c r="AA44" s="2">
        <v>15</v>
      </c>
      <c r="AB44" s="2">
        <f t="shared" si="37"/>
        <v>129.5</v>
      </c>
      <c r="AC44" s="2">
        <f t="shared" si="50"/>
        <v>127</v>
      </c>
      <c r="AD44" s="2">
        <f t="shared" si="50"/>
        <v>124.2375</v>
      </c>
      <c r="AE44" s="2">
        <f t="shared" si="57"/>
        <v>129.76249999999999</v>
      </c>
      <c r="AF44" s="2">
        <f t="shared" si="58"/>
        <v>5.5250000000000057</v>
      </c>
      <c r="AG44" s="2">
        <f t="shared" si="59"/>
        <v>135.28749999999999</v>
      </c>
      <c r="AH44" s="2">
        <f t="shared" si="61"/>
        <v>5.7125000000000057</v>
      </c>
      <c r="AI44" s="2">
        <f t="shared" si="62"/>
        <v>4.0514184397163158</v>
      </c>
      <c r="AK44">
        <v>15</v>
      </c>
      <c r="AL44">
        <f t="shared" si="38"/>
        <v>129.5</v>
      </c>
      <c r="AM44">
        <f t="shared" si="55"/>
        <v>125.17999999999999</v>
      </c>
      <c r="AN44">
        <f t="shared" si="55"/>
        <v>122.524</v>
      </c>
      <c r="AO44">
        <f t="shared" si="67"/>
        <v>127.83599999999998</v>
      </c>
      <c r="AP44">
        <f t="shared" si="64"/>
        <v>5.3119999999999834</v>
      </c>
      <c r="AQ44">
        <f t="shared" si="65"/>
        <v>133.14799999999997</v>
      </c>
      <c r="AR44">
        <f t="shared" si="68"/>
        <v>7.8520000000000323</v>
      </c>
      <c r="AS44">
        <f t="shared" si="69"/>
        <v>5.5687943262411572</v>
      </c>
    </row>
    <row r="45" spans="7:45" x14ac:dyDescent="0.35">
      <c r="G45">
        <v>16</v>
      </c>
      <c r="H45">
        <f t="shared" si="35"/>
        <v>141</v>
      </c>
      <c r="I45">
        <f t="shared" si="39"/>
        <v>135.25</v>
      </c>
      <c r="J45">
        <f t="shared" si="39"/>
        <v>131.125</v>
      </c>
      <c r="K45">
        <f t="shared" si="40"/>
        <v>139.375</v>
      </c>
      <c r="L45">
        <f t="shared" si="41"/>
        <v>8.25</v>
      </c>
      <c r="M45">
        <f t="shared" si="42"/>
        <v>147.625</v>
      </c>
      <c r="N45">
        <f t="shared" si="43"/>
        <v>-8.125</v>
      </c>
      <c r="O45">
        <f t="shared" si="44"/>
        <v>5.8243727598566313</v>
      </c>
      <c r="Q45">
        <v>16</v>
      </c>
      <c r="R45">
        <f t="shared" si="36"/>
        <v>141</v>
      </c>
      <c r="S45">
        <f t="shared" ref="S45" si="75">AVERAGE(R44:R45)</f>
        <v>135.25</v>
      </c>
      <c r="T45">
        <f t="shared" si="52"/>
        <v>129.4</v>
      </c>
      <c r="U45">
        <f t="shared" si="47"/>
        <v>141.1</v>
      </c>
      <c r="V45">
        <f t="shared" si="48"/>
        <v>11.699999999999989</v>
      </c>
      <c r="W45">
        <f t="shared" si="49"/>
        <v>152.79999999999998</v>
      </c>
      <c r="X45">
        <f t="shared" si="53"/>
        <v>-13.299999999999983</v>
      </c>
      <c r="Y45">
        <f t="shared" si="54"/>
        <v>9.5340501792114569</v>
      </c>
      <c r="AA45" s="2">
        <v>16</v>
      </c>
      <c r="AB45" s="2">
        <f t="shared" si="37"/>
        <v>141</v>
      </c>
      <c r="AC45" s="2">
        <f t="shared" si="50"/>
        <v>130.6</v>
      </c>
      <c r="AD45" s="2">
        <f t="shared" si="50"/>
        <v>126.3125</v>
      </c>
      <c r="AE45" s="2">
        <f t="shared" si="57"/>
        <v>134.88749999999999</v>
      </c>
      <c r="AF45" s="2">
        <f t="shared" si="58"/>
        <v>8.5749999999999886</v>
      </c>
      <c r="AG45" s="2">
        <f t="shared" si="59"/>
        <v>143.46249999999998</v>
      </c>
      <c r="AH45" s="2">
        <f t="shared" si="61"/>
        <v>-3.9624999999999773</v>
      </c>
      <c r="AI45" s="2">
        <f t="shared" si="62"/>
        <v>2.8405017921146793</v>
      </c>
      <c r="AK45">
        <v>16</v>
      </c>
      <c r="AL45">
        <f t="shared" si="38"/>
        <v>141</v>
      </c>
      <c r="AM45">
        <f t="shared" si="55"/>
        <v>129.80000000000001</v>
      </c>
      <c r="AN45">
        <f t="shared" si="55"/>
        <v>124.66000000000001</v>
      </c>
      <c r="AO45">
        <f t="shared" si="67"/>
        <v>134.94</v>
      </c>
      <c r="AP45">
        <f t="shared" si="64"/>
        <v>10.280000000000001</v>
      </c>
      <c r="AQ45">
        <f t="shared" si="65"/>
        <v>145.22</v>
      </c>
      <c r="AR45">
        <f t="shared" si="68"/>
        <v>-5.7199999999999989</v>
      </c>
      <c r="AS45">
        <f t="shared" si="69"/>
        <v>4.1003584229390677</v>
      </c>
    </row>
    <row r="46" spans="7:45" x14ac:dyDescent="0.35">
      <c r="G46">
        <v>17</v>
      </c>
      <c r="H46">
        <f t="shared" si="35"/>
        <v>139.5</v>
      </c>
      <c r="I46">
        <f t="shared" si="39"/>
        <v>140.25</v>
      </c>
      <c r="J46">
        <f t="shared" si="39"/>
        <v>137.75</v>
      </c>
      <c r="K46">
        <f t="shared" si="40"/>
        <v>142.75</v>
      </c>
      <c r="L46">
        <f t="shared" si="41"/>
        <v>5</v>
      </c>
      <c r="M46">
        <f t="shared" si="42"/>
        <v>147.75</v>
      </c>
      <c r="N46">
        <f t="shared" si="43"/>
        <v>-12.150000000000006</v>
      </c>
      <c r="O46">
        <f t="shared" si="44"/>
        <v>8.9601769911504459</v>
      </c>
      <c r="Q46">
        <v>17</v>
      </c>
      <c r="R46">
        <f t="shared" si="36"/>
        <v>139.5</v>
      </c>
      <c r="S46">
        <f t="shared" ref="S46" si="76">AVERAGE(R45:R46)</f>
        <v>140.25</v>
      </c>
      <c r="T46">
        <f t="shared" si="52"/>
        <v>134.16666666666666</v>
      </c>
      <c r="U46">
        <f t="shared" si="47"/>
        <v>146.33333333333334</v>
      </c>
      <c r="V46">
        <f t="shared" si="48"/>
        <v>12.166666666666686</v>
      </c>
      <c r="W46">
        <f t="shared" si="49"/>
        <v>158.50000000000003</v>
      </c>
      <c r="X46">
        <f t="shared" si="53"/>
        <v>-22.900000000000034</v>
      </c>
      <c r="Y46">
        <f t="shared" si="54"/>
        <v>16.887905604719791</v>
      </c>
      <c r="AA46" s="2">
        <v>17</v>
      </c>
      <c r="AB46" s="2">
        <f t="shared" si="37"/>
        <v>139.5</v>
      </c>
      <c r="AC46" s="2">
        <f t="shared" si="50"/>
        <v>133.625</v>
      </c>
      <c r="AD46" s="2">
        <f t="shared" si="50"/>
        <v>128.83125000000001</v>
      </c>
      <c r="AE46" s="2">
        <f t="shared" si="57"/>
        <v>138.41874999999999</v>
      </c>
      <c r="AF46" s="2">
        <f t="shared" si="58"/>
        <v>9.5874999999999773</v>
      </c>
      <c r="AG46" s="2">
        <f t="shared" si="59"/>
        <v>148.00624999999997</v>
      </c>
      <c r="AH46" s="2">
        <f t="shared" si="61"/>
        <v>-12.406249999999972</v>
      </c>
      <c r="AI46" s="2">
        <f t="shared" si="62"/>
        <v>9.1491519174041098</v>
      </c>
      <c r="AK46">
        <v>17</v>
      </c>
      <c r="AL46">
        <f t="shared" si="38"/>
        <v>139.5</v>
      </c>
      <c r="AM46">
        <f t="shared" si="55"/>
        <v>132.38</v>
      </c>
      <c r="AN46">
        <f t="shared" si="55"/>
        <v>126.88400000000001</v>
      </c>
      <c r="AO46">
        <f t="shared" si="67"/>
        <v>137.87599999999998</v>
      </c>
      <c r="AP46">
        <f t="shared" si="64"/>
        <v>10.991999999999962</v>
      </c>
      <c r="AQ46">
        <f t="shared" si="65"/>
        <v>148.86799999999994</v>
      </c>
      <c r="AR46">
        <f t="shared" si="68"/>
        <v>-13.267999999999944</v>
      </c>
      <c r="AS46">
        <f t="shared" si="69"/>
        <v>9.7846607669616112</v>
      </c>
    </row>
    <row r="47" spans="7:45" x14ac:dyDescent="0.35">
      <c r="G47">
        <v>18</v>
      </c>
      <c r="H47">
        <f t="shared" si="35"/>
        <v>135.6</v>
      </c>
      <c r="I47">
        <f t="shared" si="39"/>
        <v>137.55000000000001</v>
      </c>
      <c r="J47">
        <f t="shared" si="39"/>
        <v>138.9</v>
      </c>
      <c r="K47">
        <f t="shared" si="40"/>
        <v>136.20000000000002</v>
      </c>
      <c r="L47">
        <f t="shared" si="41"/>
        <v>-2.6999999999999886</v>
      </c>
      <c r="M47">
        <f t="shared" si="42"/>
        <v>133.50000000000003</v>
      </c>
      <c r="N47">
        <f t="shared" si="43"/>
        <v>9.5999999999999659</v>
      </c>
      <c r="O47">
        <f t="shared" si="44"/>
        <v>6.7085953878406475</v>
      </c>
      <c r="Q47">
        <v>18</v>
      </c>
      <c r="R47">
        <f t="shared" si="36"/>
        <v>135.6</v>
      </c>
      <c r="S47">
        <f t="shared" ref="S47" si="77">AVERAGE(R46:R47)</f>
        <v>137.55000000000001</v>
      </c>
      <c r="T47">
        <f t="shared" si="52"/>
        <v>137.68333333333334</v>
      </c>
      <c r="U47">
        <f t="shared" si="47"/>
        <v>137.41666666666669</v>
      </c>
      <c r="V47">
        <f t="shared" si="48"/>
        <v>-0.26666666666665151</v>
      </c>
      <c r="W47">
        <f t="shared" si="49"/>
        <v>137.15000000000003</v>
      </c>
      <c r="X47">
        <f t="shared" si="53"/>
        <v>5.9499999999999602</v>
      </c>
      <c r="Y47">
        <f t="shared" si="54"/>
        <v>4.1579315164220549</v>
      </c>
      <c r="AA47" s="2">
        <v>18</v>
      </c>
      <c r="AB47" s="2">
        <f t="shared" si="37"/>
        <v>135.6</v>
      </c>
      <c r="AC47" s="2">
        <f t="shared" si="50"/>
        <v>136.4</v>
      </c>
      <c r="AD47" s="2">
        <f t="shared" si="50"/>
        <v>131.90625</v>
      </c>
      <c r="AE47" s="2">
        <f t="shared" si="57"/>
        <v>140.89375000000001</v>
      </c>
      <c r="AF47" s="2">
        <f t="shared" si="58"/>
        <v>8.9875000000000114</v>
      </c>
      <c r="AG47" s="2">
        <f t="shared" si="59"/>
        <v>149.88125000000002</v>
      </c>
      <c r="AH47" s="2">
        <f t="shared" si="61"/>
        <v>-6.7812500000000284</v>
      </c>
      <c r="AI47" s="2">
        <f t="shared" si="62"/>
        <v>4.7388190076869519</v>
      </c>
      <c r="AK47">
        <v>18</v>
      </c>
      <c r="AL47">
        <f t="shared" si="38"/>
        <v>135.6</v>
      </c>
      <c r="AM47">
        <f t="shared" si="55"/>
        <v>134.02000000000001</v>
      </c>
      <c r="AN47">
        <f t="shared" si="55"/>
        <v>129.024</v>
      </c>
      <c r="AO47">
        <f t="shared" si="67"/>
        <v>139.01600000000002</v>
      </c>
      <c r="AP47">
        <f t="shared" si="64"/>
        <v>9.9920000000000186</v>
      </c>
      <c r="AQ47">
        <f t="shared" si="65"/>
        <v>149.00800000000004</v>
      </c>
      <c r="AR47">
        <f t="shared" si="68"/>
        <v>-5.9080000000000439</v>
      </c>
      <c r="AS47">
        <f t="shared" si="69"/>
        <v>4.1285814116003108</v>
      </c>
    </row>
    <row r="48" spans="7:45" x14ac:dyDescent="0.35">
      <c r="G48">
        <v>19</v>
      </c>
      <c r="H48">
        <f t="shared" si="35"/>
        <v>143.1</v>
      </c>
      <c r="I48">
        <f t="shared" si="39"/>
        <v>139.35</v>
      </c>
      <c r="J48">
        <f t="shared" si="39"/>
        <v>138.44999999999999</v>
      </c>
      <c r="K48">
        <f t="shared" si="40"/>
        <v>140.25</v>
      </c>
      <c r="L48">
        <f t="shared" si="41"/>
        <v>1.8000000000000114</v>
      </c>
      <c r="M48">
        <f t="shared" si="42"/>
        <v>142.05000000000001</v>
      </c>
      <c r="N48">
        <f t="shared" si="43"/>
        <v>4.8499999999999943</v>
      </c>
      <c r="O48">
        <f t="shared" si="44"/>
        <v>3.3015656909462177</v>
      </c>
      <c r="Q48">
        <v>19</v>
      </c>
      <c r="R48">
        <f t="shared" si="36"/>
        <v>143.1</v>
      </c>
      <c r="S48">
        <f t="shared" ref="S48" si="78">AVERAGE(R47:R48)</f>
        <v>139.35</v>
      </c>
      <c r="T48">
        <f t="shared" si="52"/>
        <v>139.04999999999998</v>
      </c>
      <c r="U48">
        <f t="shared" si="47"/>
        <v>139.65</v>
      </c>
      <c r="V48">
        <f t="shared" si="48"/>
        <v>0.60000000000002274</v>
      </c>
      <c r="W48">
        <f t="shared" si="49"/>
        <v>140.25000000000003</v>
      </c>
      <c r="X48">
        <f t="shared" si="53"/>
        <v>6.6499999999999773</v>
      </c>
      <c r="Y48">
        <f t="shared" si="54"/>
        <v>4.5268890401633604</v>
      </c>
      <c r="AA48" s="2">
        <v>19</v>
      </c>
      <c r="AB48" s="2">
        <f t="shared" si="37"/>
        <v>143.1</v>
      </c>
      <c r="AC48" s="2">
        <f t="shared" si="50"/>
        <v>139.80000000000001</v>
      </c>
      <c r="AD48" s="2">
        <f t="shared" si="50"/>
        <v>135.10624999999999</v>
      </c>
      <c r="AE48" s="2">
        <f t="shared" si="57"/>
        <v>144.49375000000003</v>
      </c>
      <c r="AF48" s="2">
        <f t="shared" si="58"/>
        <v>9.3875000000000455</v>
      </c>
      <c r="AG48" s="2">
        <f t="shared" si="59"/>
        <v>153.88125000000008</v>
      </c>
      <c r="AH48" s="2">
        <f t="shared" si="61"/>
        <v>-6.9812500000000739</v>
      </c>
      <c r="AI48" s="2">
        <f t="shared" si="62"/>
        <v>4.7523825731790836</v>
      </c>
      <c r="AK48">
        <v>19</v>
      </c>
      <c r="AL48">
        <f t="shared" si="38"/>
        <v>143.1</v>
      </c>
      <c r="AM48">
        <f t="shared" si="55"/>
        <v>137.74</v>
      </c>
      <c r="AN48">
        <f t="shared" si="55"/>
        <v>131.82400000000001</v>
      </c>
      <c r="AO48">
        <f t="shared" si="67"/>
        <v>143.65600000000001</v>
      </c>
      <c r="AP48">
        <f t="shared" si="64"/>
        <v>11.831999999999994</v>
      </c>
      <c r="AQ48">
        <f t="shared" si="65"/>
        <v>155.488</v>
      </c>
      <c r="AR48">
        <f t="shared" si="68"/>
        <v>-8.5879999999999939</v>
      </c>
      <c r="AS48">
        <f t="shared" si="69"/>
        <v>5.8461538461538423</v>
      </c>
    </row>
    <row r="49" spans="7:45" x14ac:dyDescent="0.35">
      <c r="G49">
        <v>20</v>
      </c>
      <c r="H49">
        <f t="shared" si="35"/>
        <v>146.9</v>
      </c>
      <c r="I49">
        <f t="shared" si="39"/>
        <v>145</v>
      </c>
      <c r="J49">
        <f t="shared" si="39"/>
        <v>142.17500000000001</v>
      </c>
      <c r="K49">
        <f t="shared" si="40"/>
        <v>147.82499999999999</v>
      </c>
      <c r="L49">
        <f t="shared" si="41"/>
        <v>5.6499999999999773</v>
      </c>
      <c r="M49">
        <f t="shared" si="42"/>
        <v>153.47499999999997</v>
      </c>
      <c r="N49">
        <f t="shared" si="43"/>
        <v>-2.7749999999999773</v>
      </c>
      <c r="O49">
        <f t="shared" si="44"/>
        <v>1.8414067684140529</v>
      </c>
      <c r="Q49">
        <v>20</v>
      </c>
      <c r="R49">
        <f t="shared" si="36"/>
        <v>146.9</v>
      </c>
      <c r="S49">
        <f t="shared" ref="S49" si="79">AVERAGE(R48:R49)</f>
        <v>145</v>
      </c>
      <c r="T49">
        <f t="shared" si="52"/>
        <v>140.63333333333333</v>
      </c>
      <c r="U49">
        <f t="shared" si="47"/>
        <v>149.36666666666667</v>
      </c>
      <c r="V49">
        <f t="shared" si="48"/>
        <v>8.7333333333333485</v>
      </c>
      <c r="W49">
        <f t="shared" si="49"/>
        <v>158.10000000000002</v>
      </c>
      <c r="X49">
        <f t="shared" si="53"/>
        <v>-7.4000000000000341</v>
      </c>
      <c r="Y49">
        <f t="shared" si="54"/>
        <v>4.9104180491042033</v>
      </c>
      <c r="AA49" s="2">
        <v>20</v>
      </c>
      <c r="AB49" s="2">
        <f t="shared" si="37"/>
        <v>146.9</v>
      </c>
      <c r="AC49" s="2">
        <f t="shared" si="50"/>
        <v>141.27500000000001</v>
      </c>
      <c r="AD49" s="2">
        <f t="shared" si="50"/>
        <v>137.77500000000001</v>
      </c>
      <c r="AE49" s="2">
        <f t="shared" si="57"/>
        <v>144.77500000000001</v>
      </c>
      <c r="AF49" s="2">
        <f t="shared" si="58"/>
        <v>7</v>
      </c>
      <c r="AG49" s="2">
        <f t="shared" si="59"/>
        <v>151.77500000000001</v>
      </c>
      <c r="AH49" s="2">
        <f t="shared" si="61"/>
        <v>-1.0750000000000171</v>
      </c>
      <c r="AI49" s="2">
        <f t="shared" si="62"/>
        <v>0.71333775713338898</v>
      </c>
      <c r="AK49">
        <v>20</v>
      </c>
      <c r="AL49">
        <f t="shared" si="38"/>
        <v>146.9</v>
      </c>
      <c r="AM49">
        <f t="shared" si="55"/>
        <v>141.22</v>
      </c>
      <c r="AN49">
        <f t="shared" si="55"/>
        <v>135.03200000000001</v>
      </c>
      <c r="AO49">
        <f t="shared" si="67"/>
        <v>147.40799999999999</v>
      </c>
      <c r="AP49">
        <f t="shared" si="64"/>
        <v>12.375999999999976</v>
      </c>
      <c r="AQ49">
        <f t="shared" si="65"/>
        <v>159.78399999999996</v>
      </c>
      <c r="AR49">
        <f t="shared" si="68"/>
        <v>-9.0839999999999748</v>
      </c>
      <c r="AS49">
        <f t="shared" si="69"/>
        <v>6.0278699402786833</v>
      </c>
    </row>
    <row r="50" spans="7:45" x14ac:dyDescent="0.35">
      <c r="G50">
        <v>21</v>
      </c>
      <c r="H50">
        <f t="shared" si="35"/>
        <v>150.69999999999999</v>
      </c>
      <c r="I50">
        <f t="shared" si="39"/>
        <v>148.80000000000001</v>
      </c>
      <c r="J50">
        <f t="shared" si="39"/>
        <v>146.9</v>
      </c>
      <c r="K50">
        <f t="shared" si="40"/>
        <v>150.70000000000002</v>
      </c>
      <c r="L50">
        <f t="shared" si="41"/>
        <v>3.8000000000000114</v>
      </c>
      <c r="M50">
        <f t="shared" si="42"/>
        <v>154.50000000000003</v>
      </c>
      <c r="N50">
        <f>H51-M50</f>
        <v>-6.4000000000000341</v>
      </c>
      <c r="O50">
        <f t="shared" si="44"/>
        <v>4.3214044564483691</v>
      </c>
      <c r="Q50">
        <v>21</v>
      </c>
      <c r="R50">
        <f t="shared" si="36"/>
        <v>150.69999999999999</v>
      </c>
      <c r="S50">
        <f t="shared" ref="S50" si="80">AVERAGE(R49:R50)</f>
        <v>148.80000000000001</v>
      </c>
      <c r="T50">
        <f t="shared" si="52"/>
        <v>144.38333333333335</v>
      </c>
      <c r="U50">
        <f t="shared" si="47"/>
        <v>153.21666666666667</v>
      </c>
      <c r="V50">
        <f t="shared" si="48"/>
        <v>8.8333333333333144</v>
      </c>
      <c r="W50">
        <f t="shared" si="49"/>
        <v>162.04999999999998</v>
      </c>
      <c r="X50">
        <f t="shared" si="53"/>
        <v>-13.949999999999989</v>
      </c>
      <c r="Y50">
        <f t="shared" si="54"/>
        <v>9.4193112761647466</v>
      </c>
      <c r="AA50" s="2">
        <v>21</v>
      </c>
      <c r="AB50" s="2">
        <f t="shared" si="37"/>
        <v>150.69999999999999</v>
      </c>
      <c r="AC50" s="2">
        <f t="shared" si="50"/>
        <v>144.07499999999999</v>
      </c>
      <c r="AD50" s="2">
        <f t="shared" si="50"/>
        <v>140.38749999999999</v>
      </c>
      <c r="AE50" s="2">
        <f t="shared" si="57"/>
        <v>147.76249999999999</v>
      </c>
      <c r="AF50" s="2">
        <f t="shared" si="58"/>
        <v>7.375</v>
      </c>
      <c r="AG50" s="2">
        <f t="shared" si="59"/>
        <v>155.13749999999999</v>
      </c>
      <c r="AH50" s="2">
        <f t="shared" si="61"/>
        <v>-7.0374999999999943</v>
      </c>
      <c r="AI50" s="2">
        <f t="shared" si="62"/>
        <v>4.751856853477376</v>
      </c>
      <c r="AK50">
        <v>21</v>
      </c>
      <c r="AL50">
        <f t="shared" si="38"/>
        <v>150.69999999999999</v>
      </c>
      <c r="AM50">
        <f t="shared" si="55"/>
        <v>143.16</v>
      </c>
      <c r="AN50">
        <f t="shared" si="55"/>
        <v>137.70400000000001</v>
      </c>
      <c r="AO50">
        <f t="shared" si="67"/>
        <v>148.61599999999999</v>
      </c>
      <c r="AP50">
        <f t="shared" si="64"/>
        <v>10.911999999999978</v>
      </c>
      <c r="AQ50">
        <f t="shared" si="65"/>
        <v>159.52799999999996</v>
      </c>
      <c r="AR50">
        <f t="shared" si="68"/>
        <v>-11.427999999999969</v>
      </c>
      <c r="AS50">
        <f t="shared" si="69"/>
        <v>7.7164078325455563</v>
      </c>
    </row>
    <row r="51" spans="7:45" x14ac:dyDescent="0.35">
      <c r="G51">
        <v>22</v>
      </c>
      <c r="H51">
        <f t="shared" si="35"/>
        <v>148.1</v>
      </c>
      <c r="I51">
        <f t="shared" si="39"/>
        <v>149.39999999999998</v>
      </c>
      <c r="J51">
        <f t="shared" si="39"/>
        <v>149.1</v>
      </c>
      <c r="K51">
        <f t="shared" si="40"/>
        <v>149.69999999999996</v>
      </c>
      <c r="L51">
        <f t="shared" si="41"/>
        <v>0.59999999999996589</v>
      </c>
      <c r="M51">
        <f t="shared" si="42"/>
        <v>150.29999999999993</v>
      </c>
      <c r="N51">
        <f t="shared" si="43"/>
        <v>-8.7999999999999261</v>
      </c>
      <c r="O51">
        <f t="shared" si="44"/>
        <v>6.219081272084753</v>
      </c>
      <c r="Q51">
        <v>22</v>
      </c>
      <c r="R51">
        <f t="shared" si="36"/>
        <v>148.1</v>
      </c>
      <c r="S51">
        <f t="shared" ref="S51" si="81">AVERAGE(R50:R51)</f>
        <v>149.39999999999998</v>
      </c>
      <c r="T51">
        <f t="shared" si="52"/>
        <v>147.73333333333332</v>
      </c>
      <c r="U51">
        <f t="shared" si="47"/>
        <v>151.06666666666663</v>
      </c>
      <c r="V51">
        <f t="shared" si="48"/>
        <v>3.3333333333333144</v>
      </c>
      <c r="W51">
        <f t="shared" si="49"/>
        <v>154.39999999999995</v>
      </c>
      <c r="X51">
        <f t="shared" si="53"/>
        <v>-12.899999999999949</v>
      </c>
      <c r="Y51">
        <f t="shared" si="54"/>
        <v>9.1166077738515536</v>
      </c>
      <c r="AA51" s="2">
        <v>22</v>
      </c>
      <c r="AB51" s="2">
        <f t="shared" si="37"/>
        <v>148.1</v>
      </c>
      <c r="AC51" s="2">
        <f t="shared" si="50"/>
        <v>147.19999999999999</v>
      </c>
      <c r="AD51" s="2">
        <f t="shared" si="50"/>
        <v>143.08750000000001</v>
      </c>
      <c r="AE51" s="2">
        <f t="shared" si="57"/>
        <v>151.31249999999997</v>
      </c>
      <c r="AF51" s="2">
        <f t="shared" si="58"/>
        <v>8.2249999999999659</v>
      </c>
      <c r="AG51" s="2">
        <f t="shared" si="59"/>
        <v>159.53749999999994</v>
      </c>
      <c r="AH51" s="2">
        <f t="shared" si="61"/>
        <v>-18.037499999999937</v>
      </c>
      <c r="AI51" s="2">
        <f t="shared" si="62"/>
        <v>12.74734982332151</v>
      </c>
      <c r="AK51">
        <v>22</v>
      </c>
      <c r="AL51">
        <f t="shared" si="38"/>
        <v>148.1</v>
      </c>
      <c r="AM51">
        <f t="shared" si="55"/>
        <v>144.88</v>
      </c>
      <c r="AN51">
        <f t="shared" si="55"/>
        <v>140.20400000000001</v>
      </c>
      <c r="AO51">
        <f t="shared" si="67"/>
        <v>149.55599999999998</v>
      </c>
      <c r="AP51">
        <f t="shared" si="64"/>
        <v>9.3519999999999754</v>
      </c>
      <c r="AQ51">
        <f t="shared" si="65"/>
        <v>158.90799999999996</v>
      </c>
      <c r="AR51">
        <f t="shared" si="68"/>
        <v>-17.407999999999959</v>
      </c>
      <c r="AS51">
        <f t="shared" si="69"/>
        <v>12.302473498233187</v>
      </c>
    </row>
    <row r="52" spans="7:45" x14ac:dyDescent="0.35">
      <c r="G52">
        <v>23</v>
      </c>
      <c r="H52">
        <f t="shared" si="35"/>
        <v>141.5</v>
      </c>
      <c r="I52">
        <f t="shared" si="39"/>
        <v>144.80000000000001</v>
      </c>
      <c r="J52">
        <f t="shared" si="39"/>
        <v>147.1</v>
      </c>
      <c r="K52">
        <f t="shared" si="40"/>
        <v>142.50000000000003</v>
      </c>
      <c r="L52">
        <f t="shared" si="41"/>
        <v>-4.5999999999999659</v>
      </c>
      <c r="M52">
        <f t="shared" si="42"/>
        <v>137.90000000000006</v>
      </c>
      <c r="N52">
        <f t="shared" si="43"/>
        <v>8.9999999999999432</v>
      </c>
      <c r="O52">
        <f t="shared" si="44"/>
        <v>6.1266167460857339</v>
      </c>
      <c r="Q52">
        <v>23</v>
      </c>
      <c r="R52">
        <f t="shared" si="36"/>
        <v>141.5</v>
      </c>
      <c r="S52">
        <f t="shared" ref="S52" si="82">AVERAGE(R51:R52)</f>
        <v>144.80000000000001</v>
      </c>
      <c r="T52">
        <f t="shared" si="52"/>
        <v>147.66666666666666</v>
      </c>
      <c r="U52">
        <f t="shared" si="47"/>
        <v>141.93333333333337</v>
      </c>
      <c r="V52">
        <f t="shared" si="48"/>
        <v>-5.7333333333332916</v>
      </c>
      <c r="W52">
        <f t="shared" si="49"/>
        <v>136.20000000000007</v>
      </c>
      <c r="X52">
        <f t="shared" si="53"/>
        <v>10.699999999999932</v>
      </c>
      <c r="Y52">
        <f t="shared" si="54"/>
        <v>7.2838665759019277</v>
      </c>
      <c r="AA52" s="2">
        <v>23</v>
      </c>
      <c r="AB52" s="2">
        <f t="shared" si="37"/>
        <v>141.5</v>
      </c>
      <c r="AC52" s="2">
        <f t="shared" si="50"/>
        <v>146.80000000000001</v>
      </c>
      <c r="AD52" s="2">
        <f t="shared" si="50"/>
        <v>144.83750000000001</v>
      </c>
      <c r="AE52" s="2">
        <f t="shared" si="57"/>
        <v>148.76250000000002</v>
      </c>
      <c r="AF52" s="2">
        <f t="shared" si="58"/>
        <v>3.9250000000000114</v>
      </c>
      <c r="AG52" s="2">
        <f t="shared" si="59"/>
        <v>152.68750000000003</v>
      </c>
      <c r="AH52" s="2">
        <f t="shared" si="61"/>
        <v>-5.7875000000000227</v>
      </c>
      <c r="AI52" s="2">
        <f t="shared" si="62"/>
        <v>3.9397549353301717</v>
      </c>
      <c r="AK52">
        <v>23</v>
      </c>
      <c r="AL52">
        <f t="shared" si="38"/>
        <v>141.5</v>
      </c>
      <c r="AM52">
        <f t="shared" si="55"/>
        <v>146.06</v>
      </c>
      <c r="AN52">
        <f t="shared" si="55"/>
        <v>142.61199999999999</v>
      </c>
      <c r="AO52">
        <f t="shared" si="67"/>
        <v>149.50800000000001</v>
      </c>
      <c r="AP52">
        <f t="shared" si="64"/>
        <v>6.896000000000015</v>
      </c>
      <c r="AQ52">
        <f t="shared" si="65"/>
        <v>156.40400000000002</v>
      </c>
      <c r="AR52">
        <f t="shared" si="68"/>
        <v>-9.5040000000000191</v>
      </c>
      <c r="AS52">
        <f t="shared" si="69"/>
        <v>6.4697072838665886</v>
      </c>
    </row>
    <row r="53" spans="7:45" x14ac:dyDescent="0.35">
      <c r="G53">
        <v>24</v>
      </c>
      <c r="H53">
        <f t="shared" si="35"/>
        <v>146.9</v>
      </c>
      <c r="I53">
        <f t="shared" si="39"/>
        <v>144.19999999999999</v>
      </c>
      <c r="J53">
        <f t="shared" si="39"/>
        <v>144.5</v>
      </c>
      <c r="K53">
        <f t="shared" si="40"/>
        <v>143.89999999999998</v>
      </c>
      <c r="L53">
        <f t="shared" si="41"/>
        <v>-0.60000000000002274</v>
      </c>
      <c r="M53">
        <f t="shared" si="42"/>
        <v>143.29999999999995</v>
      </c>
      <c r="Q53">
        <v>24</v>
      </c>
      <c r="R53">
        <f t="shared" si="36"/>
        <v>146.9</v>
      </c>
      <c r="S53">
        <f t="shared" ref="S53" si="83">AVERAGE(R52:R53)</f>
        <v>144.19999999999999</v>
      </c>
      <c r="T53">
        <f t="shared" si="52"/>
        <v>146.13333333333333</v>
      </c>
      <c r="U53">
        <f t="shared" si="47"/>
        <v>142.26666666666665</v>
      </c>
      <c r="V53">
        <f t="shared" si="48"/>
        <v>-3.8666666666666742</v>
      </c>
      <c r="W53">
        <f t="shared" si="49"/>
        <v>138.39999999999998</v>
      </c>
      <c r="AA53" s="2">
        <v>24</v>
      </c>
      <c r="AB53" s="2">
        <f t="shared" si="37"/>
        <v>146.9</v>
      </c>
      <c r="AC53" s="2">
        <f t="shared" si="50"/>
        <v>146.79999999999998</v>
      </c>
      <c r="AD53" s="2">
        <f t="shared" si="50"/>
        <v>146.21875</v>
      </c>
      <c r="AE53" s="2">
        <f t="shared" si="57"/>
        <v>147.38124999999997</v>
      </c>
      <c r="AF53" s="2">
        <f t="shared" si="58"/>
        <v>1.1624999999999659</v>
      </c>
      <c r="AG53" s="2">
        <f t="shared" si="59"/>
        <v>148.54374999999993</v>
      </c>
      <c r="AH53" s="2"/>
      <c r="AI53" s="2"/>
      <c r="AK53">
        <v>24</v>
      </c>
      <c r="AL53">
        <f t="shared" si="38"/>
        <v>146.9</v>
      </c>
      <c r="AM53">
        <f t="shared" si="55"/>
        <v>146.82</v>
      </c>
      <c r="AN53">
        <f t="shared" si="55"/>
        <v>144.42799999999997</v>
      </c>
      <c r="AO53">
        <f t="shared" si="67"/>
        <v>149.21200000000002</v>
      </c>
      <c r="AP53">
        <f t="shared" si="64"/>
        <v>4.7840000000000487</v>
      </c>
      <c r="AQ53">
        <f t="shared" si="65"/>
        <v>153.99600000000007</v>
      </c>
    </row>
    <row r="54" spans="7:45" x14ac:dyDescent="0.35">
      <c r="G54" t="s">
        <v>3</v>
      </c>
      <c r="O54">
        <f>AVERAGE(O32:O52)</f>
        <v>5.2420317341528699</v>
      </c>
      <c r="Q54" t="s">
        <v>3</v>
      </c>
      <c r="Y54">
        <f>AVERAGE(Y34:Y52)</f>
        <v>7.1621658213771369</v>
      </c>
      <c r="AA54" s="2" t="s">
        <v>3</v>
      </c>
      <c r="AB54" s="2"/>
      <c r="AC54" s="2"/>
      <c r="AD54" s="2"/>
      <c r="AE54" s="2"/>
      <c r="AF54" s="2"/>
      <c r="AG54" s="2"/>
      <c r="AH54" s="2"/>
      <c r="AI54" s="2">
        <f>AVERAGE(AI36:AI52)</f>
        <v>4.0717332653120222</v>
      </c>
      <c r="AK54" t="s">
        <v>3</v>
      </c>
      <c r="AS54">
        <f>AVERAGE(AS38:AS52)</f>
        <v>5.3441731413234379</v>
      </c>
    </row>
    <row r="55" spans="7:45" x14ac:dyDescent="0.35">
      <c r="G55" t="s">
        <v>6</v>
      </c>
      <c r="H55">
        <v>2</v>
      </c>
      <c r="Q55" t="s">
        <v>6</v>
      </c>
      <c r="R55">
        <v>3</v>
      </c>
      <c r="AA55" s="2" t="s">
        <v>6</v>
      </c>
      <c r="AB55" s="2">
        <v>4</v>
      </c>
      <c r="AC55" s="2"/>
      <c r="AD55" s="2"/>
      <c r="AE55" s="2"/>
      <c r="AF55" s="2"/>
      <c r="AG55" s="2"/>
      <c r="AH55" s="2"/>
      <c r="AI55" s="2"/>
      <c r="AK55" t="s">
        <v>6</v>
      </c>
      <c r="AL5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9586-518C-4866-A7C7-AE38E2DF1817}">
  <dimension ref="A1:AN55"/>
  <sheetViews>
    <sheetView zoomScale="37" zoomScaleNormal="46" workbookViewId="0">
      <selection activeCell="AL28" sqref="AL28"/>
    </sheetView>
  </sheetViews>
  <sheetFormatPr defaultRowHeight="14.5" x14ac:dyDescent="0.35"/>
  <cols>
    <col min="9" max="9" width="10.08984375" customWidth="1"/>
  </cols>
  <sheetData>
    <row r="1" spans="1:40" x14ac:dyDescent="0.3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1</v>
      </c>
      <c r="I1" t="s">
        <v>4</v>
      </c>
      <c r="J1" t="s">
        <v>5</v>
      </c>
      <c r="K1" t="s">
        <v>7</v>
      </c>
      <c r="L1" t="s">
        <v>8</v>
      </c>
      <c r="N1" s="3" t="s">
        <v>0</v>
      </c>
      <c r="O1" s="3" t="s">
        <v>1</v>
      </c>
      <c r="P1" s="3" t="s">
        <v>4</v>
      </c>
      <c r="Q1" s="3" t="s">
        <v>5</v>
      </c>
      <c r="R1" s="3" t="s">
        <v>7</v>
      </c>
      <c r="S1" s="3" t="s">
        <v>8</v>
      </c>
      <c r="U1" t="s">
        <v>0</v>
      </c>
      <c r="V1" t="s">
        <v>1</v>
      </c>
      <c r="W1" t="s">
        <v>4</v>
      </c>
      <c r="X1" t="s">
        <v>5</v>
      </c>
      <c r="Y1" t="s">
        <v>7</v>
      </c>
      <c r="Z1" t="s">
        <v>8</v>
      </c>
      <c r="AB1" t="s">
        <v>0</v>
      </c>
      <c r="AC1" t="s">
        <v>1</v>
      </c>
      <c r="AD1" t="s">
        <v>4</v>
      </c>
      <c r="AE1" t="s">
        <v>5</v>
      </c>
      <c r="AF1" t="s">
        <v>7</v>
      </c>
      <c r="AG1" t="s">
        <v>8</v>
      </c>
      <c r="AI1" t="s">
        <v>0</v>
      </c>
      <c r="AJ1" t="s">
        <v>1</v>
      </c>
      <c r="AK1" t="s">
        <v>4</v>
      </c>
      <c r="AL1" t="s">
        <v>5</v>
      </c>
      <c r="AM1" t="s">
        <v>7</v>
      </c>
      <c r="AN1" t="s">
        <v>8</v>
      </c>
    </row>
    <row r="2" spans="1:40" x14ac:dyDescent="0.35">
      <c r="A2">
        <v>1</v>
      </c>
      <c r="B2">
        <v>25</v>
      </c>
      <c r="D2">
        <v>1</v>
      </c>
      <c r="E2">
        <v>92.8</v>
      </c>
      <c r="G2">
        <v>1</v>
      </c>
      <c r="H2">
        <f>B2+36</f>
        <v>61</v>
      </c>
      <c r="I2">
        <f>H2</f>
        <v>61</v>
      </c>
      <c r="N2" s="2">
        <v>1</v>
      </c>
      <c r="O2" s="2">
        <f>B2+36</f>
        <v>61</v>
      </c>
      <c r="P2" s="2">
        <f>O2</f>
        <v>61</v>
      </c>
      <c r="Q2" s="2"/>
      <c r="R2" s="2"/>
      <c r="S2" s="2"/>
      <c r="U2">
        <v>1</v>
      </c>
      <c r="V2">
        <f>B2+36</f>
        <v>61</v>
      </c>
      <c r="W2">
        <f>V2</f>
        <v>61</v>
      </c>
      <c r="AB2">
        <v>1</v>
      </c>
      <c r="AC2">
        <f>B2+36</f>
        <v>61</v>
      </c>
      <c r="AD2">
        <f>AC2</f>
        <v>61</v>
      </c>
      <c r="AI2">
        <v>1</v>
      </c>
      <c r="AJ2">
        <f>B2+36</f>
        <v>61</v>
      </c>
      <c r="AK2">
        <f>AJ2</f>
        <v>61</v>
      </c>
    </row>
    <row r="3" spans="1:40" x14ac:dyDescent="0.35">
      <c r="A3">
        <v>2</v>
      </c>
      <c r="B3">
        <v>0</v>
      </c>
      <c r="D3">
        <v>2</v>
      </c>
      <c r="E3">
        <v>79.2</v>
      </c>
      <c r="G3">
        <v>2</v>
      </c>
      <c r="H3">
        <f t="shared" ref="H3:H25" si="0">B3+36</f>
        <v>36</v>
      </c>
      <c r="I3">
        <f>($H$27*H3)+(1-$H$27)*I2</f>
        <v>58.5</v>
      </c>
      <c r="N3" s="2">
        <v>2</v>
      </c>
      <c r="O3" s="2">
        <f t="shared" ref="O3:O25" si="1">B3+36</f>
        <v>36</v>
      </c>
      <c r="P3" s="2">
        <f>($O$27*O3)+(1-$O$27)*P2</f>
        <v>51</v>
      </c>
      <c r="Q3" s="2"/>
      <c r="R3" s="2"/>
      <c r="S3" s="2"/>
      <c r="U3">
        <v>2</v>
      </c>
      <c r="V3">
        <f t="shared" ref="V3:V25" si="2">B3+36</f>
        <v>36</v>
      </c>
      <c r="W3">
        <f>($V$27*V3)+(1-$V$27)*W2</f>
        <v>48.5</v>
      </c>
      <c r="AB3">
        <v>2</v>
      </c>
      <c r="AC3">
        <f t="shared" ref="AC3:AC25" si="3">B3+36</f>
        <v>36</v>
      </c>
      <c r="AD3">
        <f>($AC$27*AC3)+(1-$AC$27)*AD2</f>
        <v>46</v>
      </c>
      <c r="AI3">
        <v>2</v>
      </c>
      <c r="AJ3">
        <f t="shared" ref="AJ3:AJ25" si="4">B3+36</f>
        <v>36</v>
      </c>
      <c r="AK3">
        <f>($AJ$27*AJ3)+(1-$AJ$27)*AK2</f>
        <v>38.5</v>
      </c>
    </row>
    <row r="4" spans="1:40" x14ac:dyDescent="0.35">
      <c r="A4">
        <v>3</v>
      </c>
      <c r="B4">
        <v>15</v>
      </c>
      <c r="D4">
        <v>3</v>
      </c>
      <c r="E4">
        <v>84.5</v>
      </c>
      <c r="G4">
        <v>3</v>
      </c>
      <c r="H4">
        <f t="shared" si="0"/>
        <v>51</v>
      </c>
      <c r="I4">
        <f t="shared" ref="I4:I25" si="5">($H$27*H4)+(1-$H$27)*I3</f>
        <v>57.75</v>
      </c>
      <c r="J4">
        <f>I3</f>
        <v>58.5</v>
      </c>
      <c r="K4">
        <f>H4-J4</f>
        <v>-7.5</v>
      </c>
      <c r="L4">
        <f>ABS(K4)/H4*100</f>
        <v>14.705882352941178</v>
      </c>
      <c r="N4" s="2">
        <v>3</v>
      </c>
      <c r="O4" s="2">
        <f t="shared" si="1"/>
        <v>51</v>
      </c>
      <c r="P4" s="2">
        <f t="shared" ref="P4:P25" si="6">($O$27*O4)+(1-$O$27)*P3</f>
        <v>51</v>
      </c>
      <c r="Q4" s="2">
        <f>P3</f>
        <v>51</v>
      </c>
      <c r="R4" s="2">
        <f>O4-Q4</f>
        <v>0</v>
      </c>
      <c r="S4" s="2">
        <f>ABS(R4)/O4*100</f>
        <v>0</v>
      </c>
      <c r="U4">
        <v>3</v>
      </c>
      <c r="V4">
        <f t="shared" si="2"/>
        <v>51</v>
      </c>
      <c r="W4">
        <f t="shared" ref="W4:W25" si="7">($V$27*V4)+(1-$V$27)*W3</f>
        <v>49.75</v>
      </c>
      <c r="X4">
        <f>W3</f>
        <v>48.5</v>
      </c>
      <c r="Y4">
        <f>V4-X4</f>
        <v>2.5</v>
      </c>
      <c r="Z4">
        <f>ABS(Y4)/V4*100</f>
        <v>4.9019607843137258</v>
      </c>
      <c r="AB4">
        <v>3</v>
      </c>
      <c r="AC4">
        <f t="shared" si="3"/>
        <v>51</v>
      </c>
      <c r="AD4">
        <f t="shared" ref="AD4:AD25" si="8">($AC$27*AC4)+(1-$AC$27)*AD3</f>
        <v>49</v>
      </c>
      <c r="AE4">
        <f>AD3</f>
        <v>46</v>
      </c>
      <c r="AF4">
        <f>AC4-AE4</f>
        <v>5</v>
      </c>
      <c r="AG4">
        <f>ABS(AF4)/AC4*100</f>
        <v>9.8039215686274517</v>
      </c>
      <c r="AI4">
        <v>3</v>
      </c>
      <c r="AJ4">
        <f t="shared" si="4"/>
        <v>51</v>
      </c>
      <c r="AK4">
        <f t="shared" ref="AK4:AK25" si="9">($AJ$27*AJ4)+(1-$AJ$27)*AK3</f>
        <v>49.75</v>
      </c>
      <c r="AL4">
        <f>AK3</f>
        <v>38.5</v>
      </c>
      <c r="AM4">
        <f>AJ4-AL4</f>
        <v>12.5</v>
      </c>
      <c r="AN4">
        <f>ABS(AM4)/AJ4*100</f>
        <v>24.509803921568626</v>
      </c>
    </row>
    <row r="5" spans="1:40" x14ac:dyDescent="0.35">
      <c r="A5">
        <v>4</v>
      </c>
      <c r="B5">
        <v>10</v>
      </c>
      <c r="D5">
        <v>4</v>
      </c>
      <c r="E5">
        <v>83</v>
      </c>
      <c r="G5">
        <v>4</v>
      </c>
      <c r="H5">
        <f t="shared" si="0"/>
        <v>46</v>
      </c>
      <c r="I5">
        <f t="shared" si="5"/>
        <v>56.575000000000003</v>
      </c>
      <c r="J5">
        <f t="shared" ref="J5:J25" si="10">I4</f>
        <v>57.75</v>
      </c>
      <c r="K5">
        <f t="shared" ref="K5:K25" si="11">H5-J5</f>
        <v>-11.75</v>
      </c>
      <c r="L5">
        <f t="shared" ref="L5:L25" si="12">ABS(K5)/H5*100</f>
        <v>25.543478260869566</v>
      </c>
      <c r="N5" s="2">
        <v>4</v>
      </c>
      <c r="O5" s="2">
        <f t="shared" si="1"/>
        <v>46</v>
      </c>
      <c r="P5" s="2">
        <f t="shared" si="6"/>
        <v>49</v>
      </c>
      <c r="Q5" s="2">
        <f t="shared" ref="Q5:Q25" si="13">P4</f>
        <v>51</v>
      </c>
      <c r="R5" s="2">
        <f t="shared" ref="R5:R25" si="14">O5-Q5</f>
        <v>-5</v>
      </c>
      <c r="S5" s="2">
        <f t="shared" ref="S5:S25" si="15">ABS(R5)/O5*100</f>
        <v>10.869565217391305</v>
      </c>
      <c r="U5">
        <v>4</v>
      </c>
      <c r="V5">
        <f t="shared" si="2"/>
        <v>46</v>
      </c>
      <c r="W5">
        <f t="shared" si="7"/>
        <v>47.875</v>
      </c>
      <c r="X5">
        <f t="shared" ref="X5:X25" si="16">W4</f>
        <v>49.75</v>
      </c>
      <c r="Y5">
        <f t="shared" ref="Y5:Y25" si="17">V5-X5</f>
        <v>-3.75</v>
      </c>
      <c r="Z5">
        <f t="shared" ref="Z5:Z25" si="18">ABS(Y5)/V5*100</f>
        <v>8.1521739130434785</v>
      </c>
      <c r="AB5">
        <v>4</v>
      </c>
      <c r="AC5">
        <f t="shared" si="3"/>
        <v>46</v>
      </c>
      <c r="AD5">
        <f t="shared" si="8"/>
        <v>47.2</v>
      </c>
      <c r="AE5">
        <f t="shared" ref="AE5:AE25" si="19">AD4</f>
        <v>49</v>
      </c>
      <c r="AF5">
        <f t="shared" ref="AF5:AF25" si="20">AC5-AE5</f>
        <v>-3</v>
      </c>
      <c r="AG5">
        <f t="shared" ref="AG5:AG25" si="21">ABS(AF5)/AC5*100</f>
        <v>6.5217391304347823</v>
      </c>
      <c r="AI5">
        <v>4</v>
      </c>
      <c r="AJ5">
        <f t="shared" si="4"/>
        <v>46</v>
      </c>
      <c r="AK5">
        <f t="shared" si="9"/>
        <v>46.375</v>
      </c>
      <c r="AL5">
        <f t="shared" ref="AL5:AL25" si="22">AK4</f>
        <v>49.75</v>
      </c>
      <c r="AM5">
        <f t="shared" ref="AM5:AM25" si="23">AJ5-AL5</f>
        <v>-3.75</v>
      </c>
      <c r="AN5">
        <f t="shared" ref="AN5:AN25" si="24">ABS(AM5)/AJ5*100</f>
        <v>8.1521739130434785</v>
      </c>
    </row>
    <row r="6" spans="1:40" x14ac:dyDescent="0.35">
      <c r="A6">
        <v>5</v>
      </c>
      <c r="B6">
        <v>20</v>
      </c>
      <c r="D6">
        <v>5</v>
      </c>
      <c r="E6">
        <v>88.1</v>
      </c>
      <c r="G6">
        <v>5</v>
      </c>
      <c r="H6">
        <f t="shared" si="0"/>
        <v>56</v>
      </c>
      <c r="I6">
        <f t="shared" si="5"/>
        <v>56.517500000000005</v>
      </c>
      <c r="J6">
        <f t="shared" si="10"/>
        <v>56.575000000000003</v>
      </c>
      <c r="K6">
        <f t="shared" si="11"/>
        <v>-0.57500000000000284</v>
      </c>
      <c r="L6">
        <f t="shared" si="12"/>
        <v>1.0267857142857193</v>
      </c>
      <c r="N6" s="2">
        <v>5</v>
      </c>
      <c r="O6" s="2">
        <f t="shared" si="1"/>
        <v>56</v>
      </c>
      <c r="P6" s="2">
        <f t="shared" si="6"/>
        <v>51.8</v>
      </c>
      <c r="Q6" s="2">
        <f t="shared" si="13"/>
        <v>49</v>
      </c>
      <c r="R6" s="2">
        <f t="shared" si="14"/>
        <v>7</v>
      </c>
      <c r="S6" s="2">
        <f t="shared" si="15"/>
        <v>12.5</v>
      </c>
      <c r="U6">
        <v>5</v>
      </c>
      <c r="V6">
        <f t="shared" si="2"/>
        <v>56</v>
      </c>
      <c r="W6">
        <f t="shared" si="7"/>
        <v>51.9375</v>
      </c>
      <c r="X6">
        <f t="shared" si="16"/>
        <v>47.875</v>
      </c>
      <c r="Y6">
        <f t="shared" si="17"/>
        <v>8.125</v>
      </c>
      <c r="Z6">
        <f t="shared" si="18"/>
        <v>14.508928571428573</v>
      </c>
      <c r="AB6">
        <v>5</v>
      </c>
      <c r="AC6">
        <f t="shared" si="3"/>
        <v>56</v>
      </c>
      <c r="AD6">
        <f t="shared" si="8"/>
        <v>52.480000000000004</v>
      </c>
      <c r="AE6">
        <f t="shared" si="19"/>
        <v>47.2</v>
      </c>
      <c r="AF6">
        <f t="shared" si="20"/>
        <v>8.7999999999999972</v>
      </c>
      <c r="AG6">
        <f t="shared" si="21"/>
        <v>15.714285714285708</v>
      </c>
      <c r="AI6">
        <v>5</v>
      </c>
      <c r="AJ6">
        <f t="shared" si="4"/>
        <v>56</v>
      </c>
      <c r="AK6">
        <f t="shared" si="9"/>
        <v>55.037499999999994</v>
      </c>
      <c r="AL6">
        <f t="shared" si="22"/>
        <v>46.375</v>
      </c>
      <c r="AM6">
        <f t="shared" si="23"/>
        <v>9.625</v>
      </c>
      <c r="AN6">
        <f t="shared" si="24"/>
        <v>17.1875</v>
      </c>
    </row>
    <row r="7" spans="1:40" x14ac:dyDescent="0.35">
      <c r="A7">
        <v>6</v>
      </c>
      <c r="B7">
        <v>10</v>
      </c>
      <c r="D7">
        <v>6</v>
      </c>
      <c r="E7">
        <v>83.9</v>
      </c>
      <c r="G7">
        <v>6</v>
      </c>
      <c r="H7">
        <f t="shared" si="0"/>
        <v>46</v>
      </c>
      <c r="I7">
        <f t="shared" si="5"/>
        <v>55.465750000000007</v>
      </c>
      <c r="J7">
        <f t="shared" si="10"/>
        <v>56.517500000000005</v>
      </c>
      <c r="K7">
        <f t="shared" si="11"/>
        <v>-10.517500000000005</v>
      </c>
      <c r="L7">
        <f t="shared" si="12"/>
        <v>22.86413043478262</v>
      </c>
      <c r="N7" s="2">
        <v>6</v>
      </c>
      <c r="O7" s="2">
        <f t="shared" si="1"/>
        <v>46</v>
      </c>
      <c r="P7" s="2">
        <f t="shared" si="6"/>
        <v>49.480000000000004</v>
      </c>
      <c r="Q7" s="2">
        <f t="shared" si="13"/>
        <v>51.8</v>
      </c>
      <c r="R7" s="2">
        <f t="shared" si="14"/>
        <v>-5.7999999999999972</v>
      </c>
      <c r="S7" s="2">
        <f t="shared" si="15"/>
        <v>12.608695652173907</v>
      </c>
      <c r="U7">
        <v>6</v>
      </c>
      <c r="V7">
        <f t="shared" si="2"/>
        <v>46</v>
      </c>
      <c r="W7">
        <f t="shared" si="7"/>
        <v>48.96875</v>
      </c>
      <c r="X7">
        <f t="shared" si="16"/>
        <v>51.9375</v>
      </c>
      <c r="Y7">
        <f t="shared" si="17"/>
        <v>-5.9375</v>
      </c>
      <c r="Z7">
        <f t="shared" si="18"/>
        <v>12.907608695652172</v>
      </c>
      <c r="AB7">
        <v>6</v>
      </c>
      <c r="AC7">
        <f t="shared" si="3"/>
        <v>46</v>
      </c>
      <c r="AD7">
        <f t="shared" si="8"/>
        <v>48.591999999999999</v>
      </c>
      <c r="AE7">
        <f t="shared" si="19"/>
        <v>52.480000000000004</v>
      </c>
      <c r="AF7">
        <f t="shared" si="20"/>
        <v>-6.480000000000004</v>
      </c>
      <c r="AG7">
        <f t="shared" si="21"/>
        <v>14.086956521739138</v>
      </c>
      <c r="AI7">
        <v>6</v>
      </c>
      <c r="AJ7">
        <f t="shared" si="4"/>
        <v>46</v>
      </c>
      <c r="AK7">
        <f t="shared" si="9"/>
        <v>46.903749999999995</v>
      </c>
      <c r="AL7">
        <f t="shared" si="22"/>
        <v>55.037499999999994</v>
      </c>
      <c r="AM7">
        <f t="shared" si="23"/>
        <v>-9.0374999999999943</v>
      </c>
      <c r="AN7">
        <f t="shared" si="24"/>
        <v>19.646739130434771</v>
      </c>
    </row>
    <row r="8" spans="1:40" x14ac:dyDescent="0.35">
      <c r="A8">
        <v>7</v>
      </c>
      <c r="B8">
        <v>5</v>
      </c>
      <c r="D8">
        <v>7</v>
      </c>
      <c r="E8">
        <v>79.900000000000006</v>
      </c>
      <c r="G8">
        <v>7</v>
      </c>
      <c r="H8">
        <f t="shared" si="0"/>
        <v>41</v>
      </c>
      <c r="I8">
        <f t="shared" si="5"/>
        <v>54.019175000000011</v>
      </c>
      <c r="J8">
        <f t="shared" si="10"/>
        <v>55.465750000000007</v>
      </c>
      <c r="K8">
        <f t="shared" si="11"/>
        <v>-14.465750000000007</v>
      </c>
      <c r="L8">
        <f t="shared" si="12"/>
        <v>35.282317073170752</v>
      </c>
      <c r="N8" s="2">
        <v>7</v>
      </c>
      <c r="O8" s="2">
        <f t="shared" si="1"/>
        <v>41</v>
      </c>
      <c r="P8" s="2">
        <f t="shared" si="6"/>
        <v>46.088000000000008</v>
      </c>
      <c r="Q8" s="2">
        <f t="shared" si="13"/>
        <v>49.480000000000004</v>
      </c>
      <c r="R8" s="2">
        <f t="shared" si="14"/>
        <v>-8.480000000000004</v>
      </c>
      <c r="S8" s="2">
        <f t="shared" si="15"/>
        <v>20.682926829268304</v>
      </c>
      <c r="U8">
        <v>7</v>
      </c>
      <c r="V8">
        <f t="shared" si="2"/>
        <v>41</v>
      </c>
      <c r="W8">
        <f t="shared" si="7"/>
        <v>44.984375</v>
      </c>
      <c r="X8">
        <f t="shared" si="16"/>
        <v>48.96875</v>
      </c>
      <c r="Y8">
        <f t="shared" si="17"/>
        <v>-7.96875</v>
      </c>
      <c r="Z8">
        <f t="shared" si="18"/>
        <v>19.435975609756099</v>
      </c>
      <c r="AB8">
        <v>7</v>
      </c>
      <c r="AC8">
        <f t="shared" si="3"/>
        <v>41</v>
      </c>
      <c r="AD8">
        <f t="shared" si="8"/>
        <v>44.036799999999999</v>
      </c>
      <c r="AE8">
        <f t="shared" si="19"/>
        <v>48.591999999999999</v>
      </c>
      <c r="AF8">
        <f t="shared" si="20"/>
        <v>-7.5919999999999987</v>
      </c>
      <c r="AG8">
        <f t="shared" si="21"/>
        <v>18.517073170731706</v>
      </c>
      <c r="AI8">
        <v>7</v>
      </c>
      <c r="AJ8">
        <f t="shared" si="4"/>
        <v>41</v>
      </c>
      <c r="AK8">
        <f t="shared" si="9"/>
        <v>41.590374999999995</v>
      </c>
      <c r="AL8">
        <f t="shared" si="22"/>
        <v>46.903749999999995</v>
      </c>
      <c r="AM8">
        <f t="shared" si="23"/>
        <v>-5.9037499999999952</v>
      </c>
      <c r="AN8">
        <f t="shared" si="24"/>
        <v>14.399390243902427</v>
      </c>
    </row>
    <row r="9" spans="1:40" x14ac:dyDescent="0.35">
      <c r="A9">
        <v>8</v>
      </c>
      <c r="B9">
        <v>5</v>
      </c>
      <c r="D9">
        <v>8</v>
      </c>
      <c r="E9">
        <v>81.099999999999994</v>
      </c>
      <c r="G9">
        <v>8</v>
      </c>
      <c r="H9">
        <f t="shared" si="0"/>
        <v>41</v>
      </c>
      <c r="I9">
        <f t="shared" si="5"/>
        <v>52.717257500000009</v>
      </c>
      <c r="J9">
        <f t="shared" si="10"/>
        <v>54.019175000000011</v>
      </c>
      <c r="K9">
        <f t="shared" si="11"/>
        <v>-13.019175000000011</v>
      </c>
      <c r="L9">
        <f t="shared" si="12"/>
        <v>31.754085365853683</v>
      </c>
      <c r="N9" s="2">
        <v>8</v>
      </c>
      <c r="O9" s="2">
        <f t="shared" si="1"/>
        <v>41</v>
      </c>
      <c r="P9" s="2">
        <f t="shared" si="6"/>
        <v>44.052800000000005</v>
      </c>
      <c r="Q9" s="2">
        <f t="shared" si="13"/>
        <v>46.088000000000008</v>
      </c>
      <c r="R9" s="2">
        <f t="shared" si="14"/>
        <v>-5.0880000000000081</v>
      </c>
      <c r="S9" s="2">
        <f t="shared" si="15"/>
        <v>12.409756097560996</v>
      </c>
      <c r="U9">
        <v>8</v>
      </c>
      <c r="V9">
        <f t="shared" si="2"/>
        <v>41</v>
      </c>
      <c r="W9">
        <f t="shared" si="7"/>
        <v>42.9921875</v>
      </c>
      <c r="X9">
        <f t="shared" si="16"/>
        <v>44.984375</v>
      </c>
      <c r="Y9">
        <f t="shared" si="17"/>
        <v>-3.984375</v>
      </c>
      <c r="Z9">
        <f t="shared" si="18"/>
        <v>9.7179878048780495</v>
      </c>
      <c r="AB9">
        <v>8</v>
      </c>
      <c r="AC9">
        <f t="shared" si="3"/>
        <v>41</v>
      </c>
      <c r="AD9">
        <f t="shared" si="8"/>
        <v>42.21472</v>
      </c>
      <c r="AE9">
        <f t="shared" si="19"/>
        <v>44.036799999999999</v>
      </c>
      <c r="AF9">
        <f t="shared" si="20"/>
        <v>-3.0367999999999995</v>
      </c>
      <c r="AG9">
        <f t="shared" si="21"/>
        <v>7.4068292682926824</v>
      </c>
      <c r="AI9">
        <v>8</v>
      </c>
      <c r="AJ9">
        <f t="shared" si="4"/>
        <v>41</v>
      </c>
      <c r="AK9">
        <f t="shared" si="9"/>
        <v>41.059037499999995</v>
      </c>
      <c r="AL9">
        <f t="shared" si="22"/>
        <v>41.590374999999995</v>
      </c>
      <c r="AM9">
        <f t="shared" si="23"/>
        <v>-0.59037499999999454</v>
      </c>
      <c r="AN9">
        <f t="shared" si="24"/>
        <v>1.4399390243902306</v>
      </c>
    </row>
    <row r="10" spans="1:40" x14ac:dyDescent="0.35">
      <c r="A10">
        <v>9</v>
      </c>
      <c r="B10">
        <v>15</v>
      </c>
      <c r="D10">
        <v>9</v>
      </c>
      <c r="E10">
        <v>86.4</v>
      </c>
      <c r="G10">
        <v>9</v>
      </c>
      <c r="H10">
        <f t="shared" si="0"/>
        <v>51</v>
      </c>
      <c r="I10">
        <f t="shared" si="5"/>
        <v>52.545531750000009</v>
      </c>
      <c r="J10">
        <f t="shared" si="10"/>
        <v>52.717257500000009</v>
      </c>
      <c r="K10">
        <f t="shared" si="11"/>
        <v>-1.7172575000000094</v>
      </c>
      <c r="L10">
        <f t="shared" si="12"/>
        <v>3.3671715686274695</v>
      </c>
      <c r="N10" s="2">
        <v>9</v>
      </c>
      <c r="O10" s="2">
        <f t="shared" si="1"/>
        <v>51</v>
      </c>
      <c r="P10" s="2">
        <f t="shared" si="6"/>
        <v>46.831680000000006</v>
      </c>
      <c r="Q10" s="2">
        <f t="shared" si="13"/>
        <v>44.052800000000005</v>
      </c>
      <c r="R10" s="2">
        <f t="shared" si="14"/>
        <v>6.9471999999999952</v>
      </c>
      <c r="S10" s="2">
        <f t="shared" si="15"/>
        <v>13.621960784313716</v>
      </c>
      <c r="U10">
        <v>9</v>
      </c>
      <c r="V10">
        <f t="shared" si="2"/>
        <v>51</v>
      </c>
      <c r="W10">
        <f t="shared" si="7"/>
        <v>46.99609375</v>
      </c>
      <c r="X10">
        <f t="shared" si="16"/>
        <v>42.9921875</v>
      </c>
      <c r="Y10">
        <f t="shared" si="17"/>
        <v>8.0078125</v>
      </c>
      <c r="Z10">
        <f t="shared" si="18"/>
        <v>15.701593137254902</v>
      </c>
      <c r="AB10">
        <v>9</v>
      </c>
      <c r="AC10">
        <f t="shared" si="3"/>
        <v>51</v>
      </c>
      <c r="AD10">
        <f t="shared" si="8"/>
        <v>47.485888000000003</v>
      </c>
      <c r="AE10">
        <f t="shared" si="19"/>
        <v>42.21472</v>
      </c>
      <c r="AF10">
        <f t="shared" si="20"/>
        <v>8.7852800000000002</v>
      </c>
      <c r="AG10">
        <f t="shared" si="21"/>
        <v>17.226039215686274</v>
      </c>
      <c r="AI10">
        <v>9</v>
      </c>
      <c r="AJ10">
        <f t="shared" si="4"/>
        <v>51</v>
      </c>
      <c r="AK10">
        <f t="shared" si="9"/>
        <v>50.005903749999995</v>
      </c>
      <c r="AL10">
        <f t="shared" si="22"/>
        <v>41.059037499999995</v>
      </c>
      <c r="AM10">
        <f t="shared" si="23"/>
        <v>9.9409625000000048</v>
      </c>
      <c r="AN10">
        <f t="shared" si="24"/>
        <v>19.492083333333344</v>
      </c>
    </row>
    <row r="11" spans="1:40" x14ac:dyDescent="0.35">
      <c r="A11">
        <v>10</v>
      </c>
      <c r="B11">
        <v>15</v>
      </c>
      <c r="D11">
        <v>10</v>
      </c>
      <c r="E11">
        <v>86.3</v>
      </c>
      <c r="G11">
        <v>10</v>
      </c>
      <c r="H11">
        <f t="shared" si="0"/>
        <v>51</v>
      </c>
      <c r="I11">
        <f t="shared" si="5"/>
        <v>52.390978575000013</v>
      </c>
      <c r="J11">
        <f t="shared" si="10"/>
        <v>52.545531750000009</v>
      </c>
      <c r="K11">
        <f t="shared" si="11"/>
        <v>-1.5455317500000092</v>
      </c>
      <c r="L11">
        <f t="shared" si="12"/>
        <v>3.0304544117647239</v>
      </c>
      <c r="N11" s="2">
        <v>10</v>
      </c>
      <c r="O11" s="2">
        <f t="shared" si="1"/>
        <v>51</v>
      </c>
      <c r="P11" s="2">
        <f t="shared" si="6"/>
        <v>48.499008000000003</v>
      </c>
      <c r="Q11" s="2">
        <f t="shared" si="13"/>
        <v>46.831680000000006</v>
      </c>
      <c r="R11" s="2">
        <f t="shared" si="14"/>
        <v>4.1683199999999943</v>
      </c>
      <c r="S11" s="2">
        <f t="shared" si="15"/>
        <v>8.1731764705882242</v>
      </c>
      <c r="U11">
        <v>10</v>
      </c>
      <c r="V11">
        <f t="shared" si="2"/>
        <v>51</v>
      </c>
      <c r="W11">
        <f t="shared" si="7"/>
        <v>48.998046875</v>
      </c>
      <c r="X11">
        <f t="shared" si="16"/>
        <v>46.99609375</v>
      </c>
      <c r="Y11">
        <f t="shared" si="17"/>
        <v>4.00390625</v>
      </c>
      <c r="Z11">
        <f t="shared" si="18"/>
        <v>7.8507965686274508</v>
      </c>
      <c r="AB11">
        <v>10</v>
      </c>
      <c r="AC11">
        <f t="shared" si="3"/>
        <v>51</v>
      </c>
      <c r="AD11">
        <f t="shared" si="8"/>
        <v>49.594355199999995</v>
      </c>
      <c r="AE11">
        <f t="shared" si="19"/>
        <v>47.485888000000003</v>
      </c>
      <c r="AF11">
        <f t="shared" si="20"/>
        <v>3.5141119999999972</v>
      </c>
      <c r="AG11">
        <f t="shared" si="21"/>
        <v>6.8904156862745047</v>
      </c>
      <c r="AI11">
        <v>10</v>
      </c>
      <c r="AJ11">
        <f t="shared" si="4"/>
        <v>51</v>
      </c>
      <c r="AK11">
        <f t="shared" si="9"/>
        <v>50.900590374999993</v>
      </c>
      <c r="AL11">
        <f t="shared" si="22"/>
        <v>50.005903749999995</v>
      </c>
      <c r="AM11">
        <f t="shared" si="23"/>
        <v>0.99409625000000545</v>
      </c>
      <c r="AN11">
        <f t="shared" si="24"/>
        <v>1.9492083333333441</v>
      </c>
    </row>
    <row r="12" spans="1:40" x14ac:dyDescent="0.35">
      <c r="A12">
        <v>11</v>
      </c>
      <c r="B12">
        <v>5</v>
      </c>
      <c r="D12">
        <v>11</v>
      </c>
      <c r="E12">
        <v>81.900000000000006</v>
      </c>
      <c r="G12">
        <v>11</v>
      </c>
      <c r="H12">
        <f t="shared" si="0"/>
        <v>41</v>
      </c>
      <c r="I12">
        <f t="shared" si="5"/>
        <v>51.251880717500015</v>
      </c>
      <c r="J12">
        <f t="shared" si="10"/>
        <v>52.390978575000013</v>
      </c>
      <c r="K12">
        <f t="shared" si="11"/>
        <v>-11.390978575000013</v>
      </c>
      <c r="L12">
        <f t="shared" si="12"/>
        <v>27.782874573170762</v>
      </c>
      <c r="N12" s="2">
        <v>11</v>
      </c>
      <c r="O12" s="2">
        <f t="shared" si="1"/>
        <v>41</v>
      </c>
      <c r="P12" s="2">
        <f t="shared" si="6"/>
        <v>45.499404800000008</v>
      </c>
      <c r="Q12" s="2">
        <f t="shared" si="13"/>
        <v>48.499008000000003</v>
      </c>
      <c r="R12" s="2">
        <f t="shared" si="14"/>
        <v>-7.4990080000000034</v>
      </c>
      <c r="S12" s="2">
        <f t="shared" si="15"/>
        <v>18.290263414634154</v>
      </c>
      <c r="U12">
        <v>11</v>
      </c>
      <c r="V12">
        <f t="shared" si="2"/>
        <v>41</v>
      </c>
      <c r="W12">
        <f t="shared" si="7"/>
        <v>44.9990234375</v>
      </c>
      <c r="X12">
        <f t="shared" si="16"/>
        <v>48.998046875</v>
      </c>
      <c r="Y12">
        <f t="shared" si="17"/>
        <v>-7.998046875</v>
      </c>
      <c r="Z12">
        <f t="shared" si="18"/>
        <v>19.507431402439025</v>
      </c>
      <c r="AB12">
        <v>11</v>
      </c>
      <c r="AC12">
        <f t="shared" si="3"/>
        <v>41</v>
      </c>
      <c r="AD12">
        <f t="shared" si="8"/>
        <v>44.437742079999992</v>
      </c>
      <c r="AE12">
        <f t="shared" si="19"/>
        <v>49.594355199999995</v>
      </c>
      <c r="AF12">
        <f t="shared" si="20"/>
        <v>-8.5943551999999954</v>
      </c>
      <c r="AG12">
        <f t="shared" si="21"/>
        <v>20.961841951219501</v>
      </c>
      <c r="AI12">
        <v>11</v>
      </c>
      <c r="AJ12">
        <f t="shared" si="4"/>
        <v>41</v>
      </c>
      <c r="AK12">
        <f t="shared" si="9"/>
        <v>41.990059037499996</v>
      </c>
      <c r="AL12">
        <f t="shared" si="22"/>
        <v>50.900590374999993</v>
      </c>
      <c r="AM12">
        <f t="shared" si="23"/>
        <v>-9.9005903749999931</v>
      </c>
      <c r="AN12">
        <f t="shared" si="24"/>
        <v>24.147781402439009</v>
      </c>
    </row>
    <row r="13" spans="1:40" x14ac:dyDescent="0.35">
      <c r="A13">
        <v>12</v>
      </c>
      <c r="B13">
        <v>20</v>
      </c>
      <c r="D13">
        <v>12</v>
      </c>
      <c r="E13">
        <v>90.6</v>
      </c>
      <c r="G13">
        <v>12</v>
      </c>
      <c r="H13">
        <f t="shared" si="0"/>
        <v>56</v>
      </c>
      <c r="I13">
        <f t="shared" si="5"/>
        <v>51.726692645750013</v>
      </c>
      <c r="J13">
        <f t="shared" si="10"/>
        <v>51.251880717500015</v>
      </c>
      <c r="K13">
        <f t="shared" si="11"/>
        <v>4.7481192824999852</v>
      </c>
      <c r="L13">
        <f t="shared" si="12"/>
        <v>8.4787844330356883</v>
      </c>
      <c r="N13" s="2">
        <v>12</v>
      </c>
      <c r="O13" s="2">
        <f t="shared" si="1"/>
        <v>56</v>
      </c>
      <c r="P13" s="2">
        <f t="shared" si="6"/>
        <v>49.699642880000006</v>
      </c>
      <c r="Q13" s="2">
        <f t="shared" si="13"/>
        <v>45.499404800000008</v>
      </c>
      <c r="R13" s="2">
        <f t="shared" si="14"/>
        <v>10.500595199999992</v>
      </c>
      <c r="S13" s="2">
        <f t="shared" si="15"/>
        <v>18.751062857142845</v>
      </c>
      <c r="U13">
        <v>12</v>
      </c>
      <c r="V13">
        <f t="shared" si="2"/>
        <v>56</v>
      </c>
      <c r="W13">
        <f t="shared" si="7"/>
        <v>50.49951171875</v>
      </c>
      <c r="X13">
        <f t="shared" si="16"/>
        <v>44.9990234375</v>
      </c>
      <c r="Y13">
        <f t="shared" si="17"/>
        <v>11.0009765625</v>
      </c>
      <c r="Z13">
        <f t="shared" si="18"/>
        <v>19.644601004464285</v>
      </c>
      <c r="AB13">
        <v>12</v>
      </c>
      <c r="AC13">
        <f t="shared" si="3"/>
        <v>56</v>
      </c>
      <c r="AD13">
        <f t="shared" si="8"/>
        <v>51.375096831999997</v>
      </c>
      <c r="AE13">
        <f t="shared" si="19"/>
        <v>44.437742079999992</v>
      </c>
      <c r="AF13">
        <f t="shared" si="20"/>
        <v>11.562257920000008</v>
      </c>
      <c r="AG13">
        <f t="shared" si="21"/>
        <v>20.646889142857155</v>
      </c>
      <c r="AI13">
        <v>12</v>
      </c>
      <c r="AJ13">
        <f t="shared" si="4"/>
        <v>56</v>
      </c>
      <c r="AK13">
        <f t="shared" si="9"/>
        <v>54.599005903749998</v>
      </c>
      <c r="AL13">
        <f t="shared" si="22"/>
        <v>41.990059037499996</v>
      </c>
      <c r="AM13">
        <f t="shared" si="23"/>
        <v>14.009940962500004</v>
      </c>
      <c r="AN13">
        <f t="shared" si="24"/>
        <v>25.017751718750009</v>
      </c>
    </row>
    <row r="14" spans="1:40" x14ac:dyDescent="0.35">
      <c r="A14">
        <v>13</v>
      </c>
      <c r="B14">
        <v>15</v>
      </c>
      <c r="D14">
        <v>13</v>
      </c>
      <c r="E14">
        <v>91.4</v>
      </c>
      <c r="G14">
        <v>13</v>
      </c>
      <c r="H14">
        <f t="shared" si="0"/>
        <v>51</v>
      </c>
      <c r="I14">
        <f t="shared" si="5"/>
        <v>51.654023381175016</v>
      </c>
      <c r="J14">
        <f t="shared" si="10"/>
        <v>51.726692645750013</v>
      </c>
      <c r="K14">
        <f t="shared" si="11"/>
        <v>-0.72669264575001336</v>
      </c>
      <c r="L14">
        <f t="shared" si="12"/>
        <v>1.4248875406863006</v>
      </c>
      <c r="N14" s="2">
        <v>13</v>
      </c>
      <c r="O14" s="2">
        <f t="shared" si="1"/>
        <v>51</v>
      </c>
      <c r="P14" s="2">
        <f t="shared" si="6"/>
        <v>50.219785728000005</v>
      </c>
      <c r="Q14" s="2">
        <f t="shared" si="13"/>
        <v>49.699642880000006</v>
      </c>
      <c r="R14" s="2">
        <f t="shared" si="14"/>
        <v>1.3003571199999939</v>
      </c>
      <c r="S14" s="2">
        <f t="shared" si="15"/>
        <v>2.5497198431372428</v>
      </c>
      <c r="U14">
        <v>13</v>
      </c>
      <c r="V14">
        <f t="shared" si="2"/>
        <v>51</v>
      </c>
      <c r="W14">
        <f t="shared" si="7"/>
        <v>50.749755859375</v>
      </c>
      <c r="X14">
        <f t="shared" si="16"/>
        <v>50.49951171875</v>
      </c>
      <c r="Y14">
        <f t="shared" si="17"/>
        <v>0.50048828125</v>
      </c>
      <c r="Z14">
        <f t="shared" si="18"/>
        <v>0.98134957107843135</v>
      </c>
      <c r="AB14">
        <v>13</v>
      </c>
      <c r="AC14">
        <f t="shared" si="3"/>
        <v>51</v>
      </c>
      <c r="AD14">
        <f t="shared" si="8"/>
        <v>51.150038732799999</v>
      </c>
      <c r="AE14">
        <f t="shared" si="19"/>
        <v>51.375096831999997</v>
      </c>
      <c r="AF14">
        <f t="shared" si="20"/>
        <v>-0.37509683199999699</v>
      </c>
      <c r="AG14">
        <f t="shared" si="21"/>
        <v>0.73548398431371953</v>
      </c>
      <c r="AI14">
        <v>13</v>
      </c>
      <c r="AJ14">
        <f t="shared" si="4"/>
        <v>51</v>
      </c>
      <c r="AK14">
        <f t="shared" si="9"/>
        <v>51.359900590374998</v>
      </c>
      <c r="AL14">
        <f t="shared" si="22"/>
        <v>54.599005903749998</v>
      </c>
      <c r="AM14">
        <f t="shared" si="23"/>
        <v>-3.5990059037499975</v>
      </c>
      <c r="AN14">
        <f t="shared" si="24"/>
        <v>7.0568743210784266</v>
      </c>
    </row>
    <row r="15" spans="1:40" x14ac:dyDescent="0.35">
      <c r="A15">
        <v>14</v>
      </c>
      <c r="B15">
        <v>5</v>
      </c>
      <c r="D15">
        <v>14</v>
      </c>
      <c r="E15">
        <v>88.5</v>
      </c>
      <c r="G15">
        <v>14</v>
      </c>
      <c r="H15">
        <f t="shared" si="0"/>
        <v>41</v>
      </c>
      <c r="I15">
        <f t="shared" si="5"/>
        <v>50.588621043057515</v>
      </c>
      <c r="J15">
        <f t="shared" si="10"/>
        <v>51.654023381175016</v>
      </c>
      <c r="K15">
        <f t="shared" si="11"/>
        <v>-10.654023381175016</v>
      </c>
      <c r="L15">
        <f t="shared" si="12"/>
        <v>25.985422880914673</v>
      </c>
      <c r="N15" s="2">
        <v>14</v>
      </c>
      <c r="O15" s="2">
        <f t="shared" si="1"/>
        <v>41</v>
      </c>
      <c r="P15" s="2">
        <f t="shared" si="6"/>
        <v>46.531871436800003</v>
      </c>
      <c r="Q15" s="2">
        <f t="shared" si="13"/>
        <v>50.219785728000005</v>
      </c>
      <c r="R15" s="2">
        <f t="shared" si="14"/>
        <v>-9.2197857280000051</v>
      </c>
      <c r="S15" s="2">
        <f t="shared" si="15"/>
        <v>22.487282263414645</v>
      </c>
      <c r="U15">
        <v>14</v>
      </c>
      <c r="V15">
        <f t="shared" si="2"/>
        <v>41</v>
      </c>
      <c r="W15">
        <f t="shared" si="7"/>
        <v>45.8748779296875</v>
      </c>
      <c r="X15">
        <f t="shared" si="16"/>
        <v>50.749755859375</v>
      </c>
      <c r="Y15">
        <f t="shared" si="17"/>
        <v>-9.749755859375</v>
      </c>
      <c r="Z15">
        <f t="shared" si="18"/>
        <v>23.779892339939025</v>
      </c>
      <c r="AB15">
        <v>14</v>
      </c>
      <c r="AC15">
        <f t="shared" si="3"/>
        <v>41</v>
      </c>
      <c r="AD15">
        <f t="shared" si="8"/>
        <v>45.060015493119998</v>
      </c>
      <c r="AE15">
        <f t="shared" si="19"/>
        <v>51.150038732799999</v>
      </c>
      <c r="AF15">
        <f t="shared" si="20"/>
        <v>-10.150038732799999</v>
      </c>
      <c r="AG15">
        <f t="shared" si="21"/>
        <v>24.756192031219509</v>
      </c>
      <c r="AI15">
        <v>14</v>
      </c>
      <c r="AJ15">
        <f t="shared" si="4"/>
        <v>41</v>
      </c>
      <c r="AK15">
        <f t="shared" si="9"/>
        <v>42.035990059037495</v>
      </c>
      <c r="AL15">
        <f t="shared" si="22"/>
        <v>51.359900590374998</v>
      </c>
      <c r="AM15">
        <f t="shared" si="23"/>
        <v>-10.359900590374998</v>
      </c>
      <c r="AN15">
        <f t="shared" si="24"/>
        <v>25.268050220426826</v>
      </c>
    </row>
    <row r="16" spans="1:40" x14ac:dyDescent="0.35">
      <c r="A16">
        <v>15</v>
      </c>
      <c r="B16">
        <v>10</v>
      </c>
      <c r="D16">
        <v>15</v>
      </c>
      <c r="E16">
        <v>93.5</v>
      </c>
      <c r="G16">
        <v>15</v>
      </c>
      <c r="H16">
        <f t="shared" si="0"/>
        <v>46</v>
      </c>
      <c r="I16">
        <f t="shared" si="5"/>
        <v>50.129758938751763</v>
      </c>
      <c r="J16">
        <f t="shared" si="10"/>
        <v>50.588621043057515</v>
      </c>
      <c r="K16">
        <f t="shared" si="11"/>
        <v>-4.5886210430575147</v>
      </c>
      <c r="L16">
        <f t="shared" si="12"/>
        <v>9.9752631370815532</v>
      </c>
      <c r="N16" s="2">
        <v>15</v>
      </c>
      <c r="O16" s="2">
        <f t="shared" si="1"/>
        <v>46</v>
      </c>
      <c r="P16" s="2">
        <f t="shared" si="6"/>
        <v>46.319122862080008</v>
      </c>
      <c r="Q16" s="2">
        <f t="shared" si="13"/>
        <v>46.531871436800003</v>
      </c>
      <c r="R16" s="2">
        <f t="shared" si="14"/>
        <v>-0.53187143680000304</v>
      </c>
      <c r="S16" s="2">
        <f t="shared" si="15"/>
        <v>1.1562422539130501</v>
      </c>
      <c r="U16">
        <v>15</v>
      </c>
      <c r="V16">
        <f t="shared" si="2"/>
        <v>46</v>
      </c>
      <c r="W16">
        <f t="shared" si="7"/>
        <v>45.93743896484375</v>
      </c>
      <c r="X16">
        <f t="shared" si="16"/>
        <v>45.8748779296875</v>
      </c>
      <c r="Y16">
        <f t="shared" si="17"/>
        <v>0.1251220703125</v>
      </c>
      <c r="Z16">
        <f t="shared" si="18"/>
        <v>0.27200450067934784</v>
      </c>
      <c r="AB16">
        <v>15</v>
      </c>
      <c r="AC16">
        <f t="shared" si="3"/>
        <v>46</v>
      </c>
      <c r="AD16">
        <f t="shared" si="8"/>
        <v>45.624006197247994</v>
      </c>
      <c r="AE16">
        <f t="shared" si="19"/>
        <v>45.060015493119998</v>
      </c>
      <c r="AF16">
        <f t="shared" si="20"/>
        <v>0.9399845068800019</v>
      </c>
      <c r="AG16">
        <f t="shared" si="21"/>
        <v>2.0434445801739169</v>
      </c>
      <c r="AI16">
        <v>15</v>
      </c>
      <c r="AJ16">
        <f t="shared" si="4"/>
        <v>46</v>
      </c>
      <c r="AK16">
        <f t="shared" si="9"/>
        <v>45.603599005903746</v>
      </c>
      <c r="AL16">
        <f t="shared" si="22"/>
        <v>42.035990059037495</v>
      </c>
      <c r="AM16">
        <f t="shared" si="23"/>
        <v>3.9640099409625051</v>
      </c>
      <c r="AN16">
        <f t="shared" si="24"/>
        <v>8.6174129151358798</v>
      </c>
    </row>
    <row r="17" spans="1:40" x14ac:dyDescent="0.35">
      <c r="A17">
        <v>16</v>
      </c>
      <c r="B17">
        <v>25</v>
      </c>
      <c r="D17">
        <v>16</v>
      </c>
      <c r="E17">
        <v>105</v>
      </c>
      <c r="G17">
        <v>16</v>
      </c>
      <c r="H17">
        <f t="shared" si="0"/>
        <v>61</v>
      </c>
      <c r="I17">
        <f t="shared" si="5"/>
        <v>51.216783044876593</v>
      </c>
      <c r="J17">
        <f t="shared" si="10"/>
        <v>50.129758938751763</v>
      </c>
      <c r="K17">
        <f t="shared" si="11"/>
        <v>10.870241061248237</v>
      </c>
      <c r="L17">
        <f t="shared" si="12"/>
        <v>17.820067313521701</v>
      </c>
      <c r="N17" s="2">
        <v>16</v>
      </c>
      <c r="O17" s="2">
        <f t="shared" si="1"/>
        <v>61</v>
      </c>
      <c r="P17" s="2">
        <f t="shared" si="6"/>
        <v>52.191473717248002</v>
      </c>
      <c r="Q17" s="2">
        <f t="shared" si="13"/>
        <v>46.319122862080008</v>
      </c>
      <c r="R17" s="2">
        <f t="shared" si="14"/>
        <v>14.680877137919992</v>
      </c>
      <c r="S17" s="2">
        <f t="shared" si="15"/>
        <v>24.067011701508186</v>
      </c>
      <c r="U17">
        <v>16</v>
      </c>
      <c r="V17">
        <f t="shared" si="2"/>
        <v>61</v>
      </c>
      <c r="W17">
        <f t="shared" si="7"/>
        <v>53.468719482421875</v>
      </c>
      <c r="X17">
        <f t="shared" si="16"/>
        <v>45.93743896484375</v>
      </c>
      <c r="Y17">
        <f t="shared" si="17"/>
        <v>15.06256103515625</v>
      </c>
      <c r="Z17">
        <f t="shared" si="18"/>
        <v>24.692723008452869</v>
      </c>
      <c r="AB17">
        <v>16</v>
      </c>
      <c r="AC17">
        <f t="shared" si="3"/>
        <v>61</v>
      </c>
      <c r="AD17">
        <f t="shared" si="8"/>
        <v>54.8496024788992</v>
      </c>
      <c r="AE17">
        <f t="shared" si="19"/>
        <v>45.624006197247994</v>
      </c>
      <c r="AF17">
        <f t="shared" si="20"/>
        <v>15.375993802752006</v>
      </c>
      <c r="AG17">
        <f t="shared" si="21"/>
        <v>25.206547217626241</v>
      </c>
      <c r="AI17">
        <v>16</v>
      </c>
      <c r="AJ17">
        <f t="shared" si="4"/>
        <v>61</v>
      </c>
      <c r="AK17">
        <f t="shared" si="9"/>
        <v>59.460359900590376</v>
      </c>
      <c r="AL17">
        <f t="shared" si="22"/>
        <v>45.603599005903746</v>
      </c>
      <c r="AM17">
        <f t="shared" si="23"/>
        <v>15.396400994096254</v>
      </c>
      <c r="AN17">
        <f t="shared" si="24"/>
        <v>25.240001629665993</v>
      </c>
    </row>
    <row r="18" spans="1:40" x14ac:dyDescent="0.35">
      <c r="A18">
        <v>17</v>
      </c>
      <c r="B18">
        <v>15</v>
      </c>
      <c r="D18">
        <v>17</v>
      </c>
      <c r="E18">
        <v>103.5</v>
      </c>
      <c r="G18">
        <v>17</v>
      </c>
      <c r="H18">
        <f t="shared" si="0"/>
        <v>51</v>
      </c>
      <c r="I18">
        <f t="shared" si="5"/>
        <v>51.195104740388935</v>
      </c>
      <c r="J18">
        <f t="shared" si="10"/>
        <v>51.216783044876593</v>
      </c>
      <c r="K18">
        <f t="shared" si="11"/>
        <v>-0.21678304487659261</v>
      </c>
      <c r="L18">
        <f t="shared" si="12"/>
        <v>0.42506479387567181</v>
      </c>
      <c r="N18" s="2">
        <v>17</v>
      </c>
      <c r="O18" s="2">
        <f t="shared" si="1"/>
        <v>51</v>
      </c>
      <c r="P18" s="2">
        <f t="shared" si="6"/>
        <v>51.714884230348801</v>
      </c>
      <c r="Q18" s="2">
        <f t="shared" si="13"/>
        <v>52.191473717248002</v>
      </c>
      <c r="R18" s="2">
        <f t="shared" si="14"/>
        <v>-1.1914737172480017</v>
      </c>
      <c r="S18" s="2">
        <f t="shared" si="15"/>
        <v>2.3362229749960819</v>
      </c>
      <c r="U18">
        <v>17</v>
      </c>
      <c r="V18">
        <f t="shared" si="2"/>
        <v>51</v>
      </c>
      <c r="W18">
        <f t="shared" si="7"/>
        <v>52.234359741210938</v>
      </c>
      <c r="X18">
        <f t="shared" si="16"/>
        <v>53.468719482421875</v>
      </c>
      <c r="Y18">
        <f t="shared" si="17"/>
        <v>-2.468719482421875</v>
      </c>
      <c r="Z18">
        <f t="shared" si="18"/>
        <v>4.8406264361213234</v>
      </c>
      <c r="AB18">
        <v>17</v>
      </c>
      <c r="AC18">
        <f t="shared" si="3"/>
        <v>51</v>
      </c>
      <c r="AD18">
        <f t="shared" si="8"/>
        <v>52.539840991559679</v>
      </c>
      <c r="AE18">
        <f t="shared" si="19"/>
        <v>54.8496024788992</v>
      </c>
      <c r="AF18">
        <f t="shared" si="20"/>
        <v>-3.8496024788992003</v>
      </c>
      <c r="AG18">
        <f t="shared" si="21"/>
        <v>7.5482401547043141</v>
      </c>
      <c r="AI18">
        <v>17</v>
      </c>
      <c r="AJ18">
        <f t="shared" si="4"/>
        <v>51</v>
      </c>
      <c r="AK18">
        <f t="shared" si="9"/>
        <v>51.846035990059036</v>
      </c>
      <c r="AL18">
        <f t="shared" si="22"/>
        <v>59.460359900590376</v>
      </c>
      <c r="AM18">
        <f t="shared" si="23"/>
        <v>-8.460359900590376</v>
      </c>
      <c r="AN18">
        <f t="shared" si="24"/>
        <v>16.588940981549758</v>
      </c>
    </row>
    <row r="19" spans="1:40" x14ac:dyDescent="0.35">
      <c r="A19">
        <v>18</v>
      </c>
      <c r="B19">
        <v>5</v>
      </c>
      <c r="D19">
        <v>18</v>
      </c>
      <c r="E19">
        <v>99.6</v>
      </c>
      <c r="G19">
        <v>18</v>
      </c>
      <c r="H19">
        <f t="shared" si="0"/>
        <v>41</v>
      </c>
      <c r="I19">
        <f t="shared" si="5"/>
        <v>50.175594266350046</v>
      </c>
      <c r="J19">
        <f t="shared" si="10"/>
        <v>51.195104740388935</v>
      </c>
      <c r="K19">
        <f t="shared" si="11"/>
        <v>-10.195104740388935</v>
      </c>
      <c r="L19">
        <f t="shared" si="12"/>
        <v>24.866109122899839</v>
      </c>
      <c r="N19" s="2">
        <v>18</v>
      </c>
      <c r="O19" s="2">
        <f t="shared" si="1"/>
        <v>41</v>
      </c>
      <c r="P19" s="2">
        <f t="shared" si="6"/>
        <v>47.428930538209286</v>
      </c>
      <c r="Q19" s="2">
        <f t="shared" si="13"/>
        <v>51.714884230348801</v>
      </c>
      <c r="R19" s="2">
        <f t="shared" si="14"/>
        <v>-10.714884230348801</v>
      </c>
      <c r="S19" s="2">
        <f t="shared" si="15"/>
        <v>26.133863976460493</v>
      </c>
      <c r="U19">
        <v>18</v>
      </c>
      <c r="V19">
        <f t="shared" si="2"/>
        <v>41</v>
      </c>
      <c r="W19">
        <f t="shared" si="7"/>
        <v>46.617179870605469</v>
      </c>
      <c r="X19">
        <f t="shared" si="16"/>
        <v>52.234359741210938</v>
      </c>
      <c r="Y19">
        <f t="shared" si="17"/>
        <v>-11.234359741210938</v>
      </c>
      <c r="Z19">
        <f t="shared" si="18"/>
        <v>27.400877417587655</v>
      </c>
      <c r="AB19">
        <v>18</v>
      </c>
      <c r="AC19">
        <f t="shared" si="3"/>
        <v>41</v>
      </c>
      <c r="AD19">
        <f t="shared" si="8"/>
        <v>45.615936396623866</v>
      </c>
      <c r="AE19">
        <f t="shared" si="19"/>
        <v>52.539840991559679</v>
      </c>
      <c r="AF19">
        <f t="shared" si="20"/>
        <v>-11.539840991559679</v>
      </c>
      <c r="AG19">
        <f t="shared" si="21"/>
        <v>28.145953637950438</v>
      </c>
      <c r="AI19">
        <v>18</v>
      </c>
      <c r="AJ19">
        <f t="shared" si="4"/>
        <v>41</v>
      </c>
      <c r="AK19">
        <f t="shared" si="9"/>
        <v>42.084603599005902</v>
      </c>
      <c r="AL19">
        <f t="shared" si="22"/>
        <v>51.846035990059036</v>
      </c>
      <c r="AM19">
        <f t="shared" si="23"/>
        <v>-10.846035990059036</v>
      </c>
      <c r="AN19">
        <f t="shared" si="24"/>
        <v>26.453746317217163</v>
      </c>
    </row>
    <row r="20" spans="1:40" x14ac:dyDescent="0.35">
      <c r="A20">
        <v>19</v>
      </c>
      <c r="B20">
        <v>15</v>
      </c>
      <c r="D20">
        <v>19</v>
      </c>
      <c r="E20">
        <v>107.1</v>
      </c>
      <c r="G20">
        <v>19</v>
      </c>
      <c r="H20">
        <f t="shared" si="0"/>
        <v>51</v>
      </c>
      <c r="I20">
        <f t="shared" si="5"/>
        <v>50.258034839715044</v>
      </c>
      <c r="J20">
        <f t="shared" si="10"/>
        <v>50.175594266350046</v>
      </c>
      <c r="K20">
        <f t="shared" si="11"/>
        <v>0.82440573364995373</v>
      </c>
      <c r="L20">
        <f t="shared" si="12"/>
        <v>1.6164818306861839</v>
      </c>
      <c r="N20" s="2">
        <v>19</v>
      </c>
      <c r="O20" s="2">
        <f t="shared" si="1"/>
        <v>51</v>
      </c>
      <c r="P20" s="2">
        <f t="shared" si="6"/>
        <v>48.857358322925577</v>
      </c>
      <c r="Q20" s="2">
        <f t="shared" si="13"/>
        <v>47.428930538209286</v>
      </c>
      <c r="R20" s="2">
        <f t="shared" si="14"/>
        <v>3.5710694617907137</v>
      </c>
      <c r="S20" s="2">
        <f t="shared" si="15"/>
        <v>7.0020969839033604</v>
      </c>
      <c r="U20">
        <v>19</v>
      </c>
      <c r="V20">
        <f t="shared" si="2"/>
        <v>51</v>
      </c>
      <c r="W20">
        <f t="shared" si="7"/>
        <v>48.808589935302734</v>
      </c>
      <c r="X20">
        <f t="shared" si="16"/>
        <v>46.617179870605469</v>
      </c>
      <c r="Y20">
        <f t="shared" si="17"/>
        <v>4.3828201293945313</v>
      </c>
      <c r="Z20">
        <f t="shared" si="18"/>
        <v>8.5937649595971202</v>
      </c>
      <c r="AB20">
        <v>19</v>
      </c>
      <c r="AC20">
        <f t="shared" si="3"/>
        <v>51</v>
      </c>
      <c r="AD20">
        <f t="shared" si="8"/>
        <v>48.846374558649543</v>
      </c>
      <c r="AE20">
        <f t="shared" si="19"/>
        <v>45.615936396623866</v>
      </c>
      <c r="AF20">
        <f t="shared" si="20"/>
        <v>5.3840636033761342</v>
      </c>
      <c r="AG20">
        <f t="shared" si="21"/>
        <v>10.556987457600263</v>
      </c>
      <c r="AI20">
        <v>19</v>
      </c>
      <c r="AJ20">
        <f t="shared" si="4"/>
        <v>51</v>
      </c>
      <c r="AK20">
        <f t="shared" si="9"/>
        <v>50.10846035990059</v>
      </c>
      <c r="AL20">
        <f t="shared" si="22"/>
        <v>42.084603599005902</v>
      </c>
      <c r="AM20">
        <f t="shared" si="23"/>
        <v>8.9153964009940978</v>
      </c>
      <c r="AN20">
        <f t="shared" si="24"/>
        <v>17.481169413713918</v>
      </c>
    </row>
    <row r="21" spans="1:40" x14ac:dyDescent="0.35">
      <c r="A21">
        <v>20</v>
      </c>
      <c r="B21">
        <v>20</v>
      </c>
      <c r="D21">
        <v>20</v>
      </c>
      <c r="E21">
        <v>110.9</v>
      </c>
      <c r="G21">
        <v>20</v>
      </c>
      <c r="H21">
        <f t="shared" si="0"/>
        <v>56</v>
      </c>
      <c r="I21">
        <f t="shared" si="5"/>
        <v>50.832231355743545</v>
      </c>
      <c r="J21">
        <f t="shared" si="10"/>
        <v>50.258034839715044</v>
      </c>
      <c r="K21">
        <f t="shared" si="11"/>
        <v>5.7419651602849555</v>
      </c>
      <c r="L21">
        <f t="shared" si="12"/>
        <v>10.253509214794564</v>
      </c>
      <c r="N21" s="2">
        <v>20</v>
      </c>
      <c r="O21" s="2">
        <f t="shared" si="1"/>
        <v>56</v>
      </c>
      <c r="P21" s="2">
        <f t="shared" si="6"/>
        <v>51.714414993755348</v>
      </c>
      <c r="Q21" s="2">
        <f t="shared" si="13"/>
        <v>48.857358322925577</v>
      </c>
      <c r="R21" s="2">
        <f t="shared" si="14"/>
        <v>7.1426416770744225</v>
      </c>
      <c r="S21" s="2">
        <f t="shared" si="15"/>
        <v>12.754717280490041</v>
      </c>
      <c r="U21">
        <v>20</v>
      </c>
      <c r="V21">
        <f t="shared" si="2"/>
        <v>56</v>
      </c>
      <c r="W21">
        <f t="shared" si="7"/>
        <v>52.404294967651367</v>
      </c>
      <c r="X21">
        <f t="shared" si="16"/>
        <v>48.808589935302734</v>
      </c>
      <c r="Y21">
        <f t="shared" si="17"/>
        <v>7.1914100646972656</v>
      </c>
      <c r="Z21">
        <f t="shared" si="18"/>
        <v>12.841803686959402</v>
      </c>
      <c r="AB21">
        <v>20</v>
      </c>
      <c r="AC21">
        <f t="shared" si="3"/>
        <v>56</v>
      </c>
      <c r="AD21">
        <f t="shared" si="8"/>
        <v>53.138549823459819</v>
      </c>
      <c r="AE21">
        <f t="shared" si="19"/>
        <v>48.846374558649543</v>
      </c>
      <c r="AF21">
        <f t="shared" si="20"/>
        <v>7.1536254413504565</v>
      </c>
      <c r="AG21">
        <f t="shared" si="21"/>
        <v>12.774331145268672</v>
      </c>
      <c r="AI21">
        <v>20</v>
      </c>
      <c r="AJ21">
        <f t="shared" si="4"/>
        <v>56</v>
      </c>
      <c r="AK21">
        <f t="shared" si="9"/>
        <v>55.410846035990055</v>
      </c>
      <c r="AL21">
        <f t="shared" si="22"/>
        <v>50.10846035990059</v>
      </c>
      <c r="AM21">
        <f t="shared" si="23"/>
        <v>5.8915396400994098</v>
      </c>
      <c r="AN21">
        <f t="shared" si="24"/>
        <v>10.520606500177518</v>
      </c>
    </row>
    <row r="22" spans="1:40" x14ac:dyDescent="0.35">
      <c r="A22">
        <v>21</v>
      </c>
      <c r="B22">
        <v>25</v>
      </c>
      <c r="D22">
        <v>21</v>
      </c>
      <c r="E22">
        <v>114.7</v>
      </c>
      <c r="G22">
        <v>21</v>
      </c>
      <c r="H22">
        <f t="shared" si="0"/>
        <v>61</v>
      </c>
      <c r="I22">
        <f t="shared" si="5"/>
        <v>51.849008220169196</v>
      </c>
      <c r="J22">
        <f t="shared" si="10"/>
        <v>50.832231355743545</v>
      </c>
      <c r="K22">
        <f t="shared" si="11"/>
        <v>10.167768644256455</v>
      </c>
      <c r="L22">
        <f t="shared" si="12"/>
        <v>16.668473187305661</v>
      </c>
      <c r="N22" s="2">
        <v>21</v>
      </c>
      <c r="O22" s="2">
        <f t="shared" si="1"/>
        <v>61</v>
      </c>
      <c r="P22" s="2">
        <f t="shared" si="6"/>
        <v>55.428648996253209</v>
      </c>
      <c r="Q22" s="2">
        <f t="shared" si="13"/>
        <v>51.714414993755348</v>
      </c>
      <c r="R22" s="2">
        <f t="shared" si="14"/>
        <v>9.2855850062446521</v>
      </c>
      <c r="S22" s="2">
        <f t="shared" si="15"/>
        <v>15.222270502040413</v>
      </c>
      <c r="U22">
        <v>21</v>
      </c>
      <c r="V22">
        <f t="shared" si="2"/>
        <v>61</v>
      </c>
      <c r="W22">
        <f t="shared" si="7"/>
        <v>56.702147483825684</v>
      </c>
      <c r="X22">
        <f t="shared" si="16"/>
        <v>52.404294967651367</v>
      </c>
      <c r="Y22">
        <f t="shared" si="17"/>
        <v>8.5957050323486328</v>
      </c>
      <c r="Z22">
        <f t="shared" si="18"/>
        <v>14.091319725161695</v>
      </c>
      <c r="AB22">
        <v>21</v>
      </c>
      <c r="AC22">
        <f t="shared" si="3"/>
        <v>61</v>
      </c>
      <c r="AD22">
        <f t="shared" si="8"/>
        <v>57.855419929383928</v>
      </c>
      <c r="AE22">
        <f t="shared" si="19"/>
        <v>53.138549823459819</v>
      </c>
      <c r="AF22">
        <f t="shared" si="20"/>
        <v>7.8614501765401812</v>
      </c>
      <c r="AG22">
        <f t="shared" si="21"/>
        <v>12.887623240229807</v>
      </c>
      <c r="AI22">
        <v>21</v>
      </c>
      <c r="AJ22">
        <f t="shared" si="4"/>
        <v>61</v>
      </c>
      <c r="AK22">
        <f t="shared" si="9"/>
        <v>60.441084603599002</v>
      </c>
      <c r="AL22">
        <f t="shared" si="22"/>
        <v>55.410846035990055</v>
      </c>
      <c r="AM22">
        <f t="shared" si="23"/>
        <v>5.5891539640099452</v>
      </c>
      <c r="AN22">
        <f t="shared" si="24"/>
        <v>9.1625474819835162</v>
      </c>
    </row>
    <row r="23" spans="1:40" x14ac:dyDescent="0.35">
      <c r="A23">
        <v>22</v>
      </c>
      <c r="B23">
        <v>15</v>
      </c>
      <c r="D23">
        <v>22</v>
      </c>
      <c r="E23">
        <v>112.1</v>
      </c>
      <c r="G23">
        <v>22</v>
      </c>
      <c r="H23">
        <f t="shared" si="0"/>
        <v>51</v>
      </c>
      <c r="I23">
        <f t="shared" si="5"/>
        <v>51.764107398152277</v>
      </c>
      <c r="J23">
        <f t="shared" si="10"/>
        <v>51.849008220169196</v>
      </c>
      <c r="K23">
        <f t="shared" si="11"/>
        <v>-0.84900822016919619</v>
      </c>
      <c r="L23">
        <f t="shared" si="12"/>
        <v>1.6647220003317573</v>
      </c>
      <c r="N23" s="2">
        <v>22</v>
      </c>
      <c r="O23" s="2">
        <f t="shared" si="1"/>
        <v>51</v>
      </c>
      <c r="P23" s="2">
        <f t="shared" si="6"/>
        <v>53.657189397751921</v>
      </c>
      <c r="Q23" s="2">
        <f t="shared" si="13"/>
        <v>55.428648996253209</v>
      </c>
      <c r="R23" s="2">
        <f t="shared" si="14"/>
        <v>-4.4286489962532087</v>
      </c>
      <c r="S23" s="2">
        <f t="shared" si="15"/>
        <v>8.683625482849429</v>
      </c>
      <c r="U23">
        <v>22</v>
      </c>
      <c r="V23">
        <f t="shared" si="2"/>
        <v>51</v>
      </c>
      <c r="W23">
        <f t="shared" si="7"/>
        <v>53.851073741912842</v>
      </c>
      <c r="X23">
        <f t="shared" si="16"/>
        <v>56.702147483825684</v>
      </c>
      <c r="Y23">
        <f t="shared" si="17"/>
        <v>-5.7021474838256836</v>
      </c>
      <c r="Z23">
        <f t="shared" si="18"/>
        <v>11.180681340834674</v>
      </c>
      <c r="AB23">
        <v>22</v>
      </c>
      <c r="AC23">
        <f t="shared" si="3"/>
        <v>51</v>
      </c>
      <c r="AD23">
        <f t="shared" si="8"/>
        <v>53.742167971753574</v>
      </c>
      <c r="AE23">
        <f t="shared" si="19"/>
        <v>57.855419929383928</v>
      </c>
      <c r="AF23">
        <f t="shared" si="20"/>
        <v>-6.8554199293839275</v>
      </c>
      <c r="AG23">
        <f t="shared" si="21"/>
        <v>13.441999861537113</v>
      </c>
      <c r="AI23">
        <v>22</v>
      </c>
      <c r="AJ23">
        <f t="shared" si="4"/>
        <v>51</v>
      </c>
      <c r="AK23">
        <f t="shared" si="9"/>
        <v>51.944108460359899</v>
      </c>
      <c r="AL23">
        <f t="shared" si="22"/>
        <v>60.441084603599002</v>
      </c>
      <c r="AM23">
        <f t="shared" si="23"/>
        <v>-9.4410846035990019</v>
      </c>
      <c r="AN23">
        <f t="shared" si="24"/>
        <v>18.51193059529216</v>
      </c>
    </row>
    <row r="24" spans="1:40" x14ac:dyDescent="0.35">
      <c r="A24">
        <v>23</v>
      </c>
      <c r="B24">
        <v>0</v>
      </c>
      <c r="D24">
        <v>23</v>
      </c>
      <c r="E24">
        <v>105.5</v>
      </c>
      <c r="G24">
        <v>23</v>
      </c>
      <c r="H24">
        <f t="shared" si="0"/>
        <v>36</v>
      </c>
      <c r="I24">
        <f t="shared" si="5"/>
        <v>50.187696658337053</v>
      </c>
      <c r="J24">
        <f t="shared" si="10"/>
        <v>51.764107398152277</v>
      </c>
      <c r="K24">
        <f t="shared" si="11"/>
        <v>-15.764107398152277</v>
      </c>
      <c r="L24">
        <f t="shared" si="12"/>
        <v>43.789187217089662</v>
      </c>
      <c r="N24" s="2">
        <v>23</v>
      </c>
      <c r="O24" s="2">
        <f t="shared" si="1"/>
        <v>36</v>
      </c>
      <c r="P24" s="2">
        <f t="shared" si="6"/>
        <v>46.594313638651151</v>
      </c>
      <c r="Q24" s="2">
        <f t="shared" si="13"/>
        <v>53.657189397751921</v>
      </c>
      <c r="R24" s="2">
        <f t="shared" si="14"/>
        <v>-17.657189397751921</v>
      </c>
      <c r="S24" s="2">
        <f t="shared" si="15"/>
        <v>49.047748327088669</v>
      </c>
      <c r="U24">
        <v>23</v>
      </c>
      <c r="V24">
        <f t="shared" si="2"/>
        <v>36</v>
      </c>
      <c r="W24">
        <f t="shared" si="7"/>
        <v>44.925536870956421</v>
      </c>
      <c r="X24">
        <f t="shared" si="16"/>
        <v>53.851073741912842</v>
      </c>
      <c r="Y24">
        <f t="shared" si="17"/>
        <v>-17.851073741912842</v>
      </c>
      <c r="Z24">
        <f t="shared" si="18"/>
        <v>49.586315949757889</v>
      </c>
      <c r="AB24">
        <v>23</v>
      </c>
      <c r="AC24">
        <f t="shared" si="3"/>
        <v>36</v>
      </c>
      <c r="AD24">
        <f t="shared" si="8"/>
        <v>43.096867188701424</v>
      </c>
      <c r="AE24">
        <f t="shared" si="19"/>
        <v>53.742167971753574</v>
      </c>
      <c r="AF24">
        <f t="shared" si="20"/>
        <v>-17.742167971753574</v>
      </c>
      <c r="AG24">
        <f t="shared" si="21"/>
        <v>49.283799921537707</v>
      </c>
      <c r="AI24">
        <v>23</v>
      </c>
      <c r="AJ24">
        <f t="shared" si="4"/>
        <v>36</v>
      </c>
      <c r="AK24">
        <f t="shared" si="9"/>
        <v>37.594410846035984</v>
      </c>
      <c r="AL24">
        <f t="shared" si="22"/>
        <v>51.944108460359899</v>
      </c>
      <c r="AM24">
        <f t="shared" si="23"/>
        <v>-15.944108460359899</v>
      </c>
      <c r="AN24">
        <f t="shared" si="24"/>
        <v>44.289190167666384</v>
      </c>
    </row>
    <row r="25" spans="1:40" x14ac:dyDescent="0.35">
      <c r="A25">
        <v>24</v>
      </c>
      <c r="B25">
        <v>5</v>
      </c>
      <c r="D25">
        <v>24</v>
      </c>
      <c r="E25">
        <v>110.9</v>
      </c>
      <c r="G25">
        <v>24</v>
      </c>
      <c r="H25">
        <f t="shared" si="0"/>
        <v>41</v>
      </c>
      <c r="I25">
        <f t="shared" si="5"/>
        <v>49.268926992503353</v>
      </c>
      <c r="J25">
        <f t="shared" si="10"/>
        <v>50.187696658337053</v>
      </c>
      <c r="K25">
        <f t="shared" si="11"/>
        <v>-9.1876966583370532</v>
      </c>
      <c r="L25">
        <f t="shared" si="12"/>
        <v>22.409016239846473</v>
      </c>
      <c r="N25" s="2">
        <v>24</v>
      </c>
      <c r="O25" s="2">
        <f t="shared" si="1"/>
        <v>41</v>
      </c>
      <c r="P25" s="2">
        <f t="shared" si="6"/>
        <v>44.356588183190695</v>
      </c>
      <c r="Q25" s="2">
        <f t="shared" si="13"/>
        <v>46.594313638651151</v>
      </c>
      <c r="R25" s="2">
        <f t="shared" si="14"/>
        <v>-5.5943136386511512</v>
      </c>
      <c r="S25" s="2">
        <f t="shared" si="15"/>
        <v>13.644667411344273</v>
      </c>
      <c r="U25">
        <v>24</v>
      </c>
      <c r="V25">
        <f t="shared" si="2"/>
        <v>41</v>
      </c>
      <c r="W25">
        <f t="shared" si="7"/>
        <v>42.96276843547821</v>
      </c>
      <c r="X25">
        <f t="shared" si="16"/>
        <v>44.925536870956421</v>
      </c>
      <c r="Y25">
        <f t="shared" si="17"/>
        <v>-3.9255368709564209</v>
      </c>
      <c r="Z25">
        <f t="shared" si="18"/>
        <v>9.5744801730644404</v>
      </c>
      <c r="AB25">
        <v>24</v>
      </c>
      <c r="AC25">
        <f t="shared" si="3"/>
        <v>41</v>
      </c>
      <c r="AD25">
        <f t="shared" si="8"/>
        <v>41.838746875480567</v>
      </c>
      <c r="AE25">
        <f t="shared" si="19"/>
        <v>43.096867188701424</v>
      </c>
      <c r="AF25">
        <f t="shared" si="20"/>
        <v>-2.0968671887014239</v>
      </c>
      <c r="AG25">
        <f t="shared" si="21"/>
        <v>5.1143102163449363</v>
      </c>
      <c r="AI25">
        <v>24</v>
      </c>
      <c r="AJ25">
        <f t="shared" si="4"/>
        <v>41</v>
      </c>
      <c r="AK25">
        <f t="shared" si="9"/>
        <v>40.6594410846036</v>
      </c>
      <c r="AL25">
        <f t="shared" si="22"/>
        <v>37.594410846035984</v>
      </c>
      <c r="AM25">
        <f t="shared" si="23"/>
        <v>3.4055891539640157</v>
      </c>
      <c r="AN25">
        <f t="shared" si="24"/>
        <v>8.3063150096683316</v>
      </c>
    </row>
    <row r="26" spans="1:40" x14ac:dyDescent="0.35">
      <c r="G26" t="s">
        <v>3</v>
      </c>
      <c r="L26">
        <f>AVERAGE(L4:L25)</f>
        <v>15.94246221216074</v>
      </c>
      <c r="N26" s="2" t="s">
        <v>3</v>
      </c>
      <c r="O26" s="2"/>
      <c r="P26" s="2"/>
      <c r="Q26" s="2"/>
      <c r="R26" s="2"/>
      <c r="S26" s="2">
        <f>AVERAGE(S4:S25)</f>
        <v>14.22694892382815</v>
      </c>
      <c r="U26" t="s">
        <v>3</v>
      </c>
      <c r="Z26">
        <f>AVERAGE(Z4:Z25)</f>
        <v>14.552949845504163</v>
      </c>
      <c r="AB26" t="s">
        <v>3</v>
      </c>
      <c r="AG26">
        <f>AVERAGE(AG4:AG25)</f>
        <v>15.012313855393433</v>
      </c>
      <c r="AI26" t="s">
        <v>3</v>
      </c>
      <c r="AN26">
        <f>AVERAGE(AN4:AN25)</f>
        <v>16.974507117035049</v>
      </c>
    </row>
    <row r="27" spans="1:40" x14ac:dyDescent="0.35">
      <c r="G27" t="s">
        <v>14</v>
      </c>
      <c r="H27">
        <v>0.1</v>
      </c>
      <c r="N27" s="2" t="s">
        <v>14</v>
      </c>
      <c r="O27" s="2">
        <v>0.4</v>
      </c>
      <c r="P27" s="2"/>
      <c r="Q27" s="2"/>
      <c r="R27" s="2"/>
      <c r="S27" s="2"/>
      <c r="U27" t="s">
        <v>14</v>
      </c>
      <c r="V27">
        <v>0.5</v>
      </c>
      <c r="AB27" t="s">
        <v>14</v>
      </c>
      <c r="AC27">
        <v>0.6</v>
      </c>
      <c r="AI27" t="s">
        <v>14</v>
      </c>
      <c r="AJ27">
        <v>0.9</v>
      </c>
    </row>
    <row r="29" spans="1:40" x14ac:dyDescent="0.35">
      <c r="G29" t="s">
        <v>0</v>
      </c>
      <c r="H29" t="s">
        <v>2</v>
      </c>
      <c r="I29" t="s">
        <v>4</v>
      </c>
      <c r="J29" t="s">
        <v>5</v>
      </c>
      <c r="K29" t="s">
        <v>7</v>
      </c>
      <c r="L29" t="s">
        <v>8</v>
      </c>
      <c r="N29" t="s">
        <v>0</v>
      </c>
      <c r="O29" t="s">
        <v>2</v>
      </c>
      <c r="P29" t="s">
        <v>4</v>
      </c>
      <c r="Q29" t="s">
        <v>5</v>
      </c>
      <c r="R29" t="s">
        <v>7</v>
      </c>
      <c r="S29" t="s">
        <v>8</v>
      </c>
      <c r="U29" t="s">
        <v>0</v>
      </c>
      <c r="V29" t="s">
        <v>2</v>
      </c>
      <c r="W29" t="s">
        <v>4</v>
      </c>
      <c r="X29" t="s">
        <v>5</v>
      </c>
      <c r="Y29" t="s">
        <v>7</v>
      </c>
      <c r="Z29" t="s">
        <v>8</v>
      </c>
      <c r="AB29" s="3" t="s">
        <v>0</v>
      </c>
      <c r="AC29" s="3" t="s">
        <v>2</v>
      </c>
      <c r="AD29" s="3" t="s">
        <v>4</v>
      </c>
      <c r="AE29" s="3" t="s">
        <v>5</v>
      </c>
      <c r="AF29" s="3" t="s">
        <v>7</v>
      </c>
      <c r="AG29" s="3" t="s">
        <v>8</v>
      </c>
      <c r="AI29" t="s">
        <v>0</v>
      </c>
      <c r="AJ29" t="s">
        <v>2</v>
      </c>
      <c r="AK29" t="s">
        <v>4</v>
      </c>
      <c r="AL29" t="s">
        <v>5</v>
      </c>
      <c r="AM29" t="s">
        <v>7</v>
      </c>
      <c r="AN29" t="s">
        <v>8</v>
      </c>
    </row>
    <row r="30" spans="1:40" x14ac:dyDescent="0.35">
      <c r="G30">
        <v>1</v>
      </c>
      <c r="H30">
        <f>E2+36</f>
        <v>128.80000000000001</v>
      </c>
      <c r="I30">
        <f>H30</f>
        <v>128.80000000000001</v>
      </c>
      <c r="N30">
        <v>1</v>
      </c>
      <c r="O30">
        <f>E2+36</f>
        <v>128.80000000000001</v>
      </c>
      <c r="P30">
        <f>O30</f>
        <v>128.80000000000001</v>
      </c>
      <c r="U30">
        <v>1</v>
      </c>
      <c r="V30">
        <f>E2+36</f>
        <v>128.80000000000001</v>
      </c>
      <c r="W30">
        <f>V30</f>
        <v>128.80000000000001</v>
      </c>
      <c r="AB30" s="2">
        <v>1</v>
      </c>
      <c r="AC30" s="2">
        <f>E2+36</f>
        <v>128.80000000000001</v>
      </c>
      <c r="AD30" s="2">
        <f>AC30</f>
        <v>128.80000000000001</v>
      </c>
      <c r="AE30" s="2"/>
      <c r="AF30" s="2"/>
      <c r="AG30" s="2"/>
      <c r="AI30">
        <v>1</v>
      </c>
      <c r="AJ30">
        <f>E2+36</f>
        <v>128.80000000000001</v>
      </c>
      <c r="AK30">
        <f>AJ30</f>
        <v>128.80000000000001</v>
      </c>
    </row>
    <row r="31" spans="1:40" x14ac:dyDescent="0.35">
      <c r="G31">
        <v>2</v>
      </c>
      <c r="H31">
        <f t="shared" ref="H31:H53" si="25">E3+36</f>
        <v>115.2</v>
      </c>
      <c r="I31">
        <f>($H$55*H31)+(1-$H$55)*I30</f>
        <v>127.44000000000001</v>
      </c>
      <c r="N31">
        <v>2</v>
      </c>
      <c r="O31">
        <f t="shared" ref="O31:O53" si="26">E3+36</f>
        <v>115.2</v>
      </c>
      <c r="P31">
        <f>($O$55*O31)+(1-$O$55)*P30</f>
        <v>124.72</v>
      </c>
      <c r="U31">
        <v>2</v>
      </c>
      <c r="V31">
        <f t="shared" ref="V31:V53" si="27">E3+36</f>
        <v>115.2</v>
      </c>
      <c r="W31">
        <f>($V$55*V31)+(1-$V$55)*W30</f>
        <v>122</v>
      </c>
      <c r="AB31" s="2">
        <v>2</v>
      </c>
      <c r="AC31" s="2">
        <f t="shared" ref="AC31:AC53" si="28">E3+36</f>
        <v>115.2</v>
      </c>
      <c r="AD31" s="2">
        <f>($AC$55*AC31)+(1-$AC$55)*AD30</f>
        <v>120.64000000000001</v>
      </c>
      <c r="AE31" s="2"/>
      <c r="AF31" s="2"/>
      <c r="AG31" s="2"/>
      <c r="AI31">
        <v>2</v>
      </c>
      <c r="AJ31">
        <f t="shared" ref="AJ31:AJ53" si="29">E3+36</f>
        <v>115.2</v>
      </c>
      <c r="AK31">
        <f>($AJ$55*AJ31)+(1-$AJ$55)*AK30</f>
        <v>116.56</v>
      </c>
    </row>
    <row r="32" spans="1:40" x14ac:dyDescent="0.35">
      <c r="G32">
        <v>3</v>
      </c>
      <c r="H32">
        <f t="shared" si="25"/>
        <v>120.5</v>
      </c>
      <c r="I32">
        <f t="shared" ref="I32:I53" si="30">($H$55*H32)+(1-$H$55)*I31</f>
        <v>126.74600000000001</v>
      </c>
      <c r="J32">
        <f>I31</f>
        <v>127.44000000000001</v>
      </c>
      <c r="K32">
        <f>H32-J32</f>
        <v>-6.9400000000000119</v>
      </c>
      <c r="L32">
        <f>(ABS(K32)/H32)*100</f>
        <v>5.7593360995850729</v>
      </c>
      <c r="N32">
        <v>3</v>
      </c>
      <c r="O32">
        <f t="shared" si="26"/>
        <v>120.5</v>
      </c>
      <c r="P32">
        <f t="shared" ref="P32:P53" si="31">($O$55*O32)+(1-$O$55)*P31</f>
        <v>123.45399999999998</v>
      </c>
      <c r="Q32">
        <f>P31</f>
        <v>124.72</v>
      </c>
      <c r="R32">
        <f>O32-Q32</f>
        <v>-4.2199999999999989</v>
      </c>
      <c r="S32">
        <f>(ABS(R32)/O32)*100</f>
        <v>3.5020746887966796</v>
      </c>
      <c r="U32">
        <v>3</v>
      </c>
      <c r="V32">
        <f t="shared" si="27"/>
        <v>120.5</v>
      </c>
      <c r="W32">
        <f t="shared" ref="W32:W53" si="32">($V$55*V32)+(1-$V$55)*W31</f>
        <v>121.25</v>
      </c>
      <c r="X32">
        <f>W31</f>
        <v>122</v>
      </c>
      <c r="Y32">
        <f>V32-X32</f>
        <v>-1.5</v>
      </c>
      <c r="Z32">
        <f>(ABS(Y32)/V32)*100</f>
        <v>1.2448132780082988</v>
      </c>
      <c r="AB32" s="2">
        <v>3</v>
      </c>
      <c r="AC32" s="2">
        <f t="shared" si="28"/>
        <v>120.5</v>
      </c>
      <c r="AD32" s="2">
        <f t="shared" ref="AD32:AD53" si="33">($AC$55*AC32)+(1-$AC$55)*AD31</f>
        <v>120.55600000000001</v>
      </c>
      <c r="AE32" s="2">
        <f>AD31</f>
        <v>120.64000000000001</v>
      </c>
      <c r="AF32" s="2">
        <f>AC32-AE32</f>
        <v>-0.14000000000001478</v>
      </c>
      <c r="AG32" s="2">
        <f>(ABS(AF32)/AC32)*100</f>
        <v>0.11618257261412014</v>
      </c>
      <c r="AI32">
        <v>3</v>
      </c>
      <c r="AJ32">
        <f t="shared" si="29"/>
        <v>120.5</v>
      </c>
      <c r="AK32">
        <f t="shared" ref="AK32:AK53" si="34">($AJ$55*AJ32)+(1-$AJ$55)*AK31</f>
        <v>120.10599999999999</v>
      </c>
      <c r="AL32">
        <f>AK31</f>
        <v>116.56</v>
      </c>
      <c r="AM32">
        <f>AJ32-AL32</f>
        <v>3.9399999999999977</v>
      </c>
      <c r="AN32">
        <f>(ABS(AM32)/AJ32)*100</f>
        <v>3.2697095435684629</v>
      </c>
    </row>
    <row r="33" spans="7:40" x14ac:dyDescent="0.35">
      <c r="G33">
        <v>4</v>
      </c>
      <c r="H33">
        <f t="shared" si="25"/>
        <v>119</v>
      </c>
      <c r="I33">
        <f t="shared" si="30"/>
        <v>125.97140000000002</v>
      </c>
      <c r="J33">
        <f t="shared" ref="J33:J53" si="35">I32</f>
        <v>126.74600000000001</v>
      </c>
      <c r="K33">
        <f t="shared" ref="K33:K53" si="36">H33-J33</f>
        <v>-7.7460000000000093</v>
      </c>
      <c r="L33">
        <f t="shared" ref="L33:L53" si="37">(ABS(K33)/H33)*100</f>
        <v>6.5092436974789987</v>
      </c>
      <c r="N33">
        <v>4</v>
      </c>
      <c r="O33">
        <f t="shared" si="26"/>
        <v>119</v>
      </c>
      <c r="P33">
        <f t="shared" si="31"/>
        <v>122.11779999999999</v>
      </c>
      <c r="Q33">
        <f t="shared" ref="Q33:Q53" si="38">P32</f>
        <v>123.45399999999998</v>
      </c>
      <c r="R33">
        <f t="shared" ref="R33:R53" si="39">O33-Q33</f>
        <v>-4.4539999999999793</v>
      </c>
      <c r="S33">
        <f t="shared" ref="S33:S53" si="40">(ABS(R33)/O33)*100</f>
        <v>3.7428571428571256</v>
      </c>
      <c r="U33">
        <v>4</v>
      </c>
      <c r="V33">
        <f t="shared" si="27"/>
        <v>119</v>
      </c>
      <c r="W33">
        <f t="shared" si="32"/>
        <v>120.125</v>
      </c>
      <c r="X33">
        <f t="shared" ref="X33:X53" si="41">W32</f>
        <v>121.25</v>
      </c>
      <c r="Y33">
        <f t="shared" ref="Y33:Y53" si="42">V33-X33</f>
        <v>-2.25</v>
      </c>
      <c r="Z33">
        <f t="shared" ref="Z33:Z53" si="43">(ABS(Y33)/V33)*100</f>
        <v>1.8907563025210083</v>
      </c>
      <c r="AB33" s="2">
        <v>4</v>
      </c>
      <c r="AC33" s="2">
        <f t="shared" si="28"/>
        <v>119</v>
      </c>
      <c r="AD33" s="2">
        <f t="shared" si="33"/>
        <v>119.6224</v>
      </c>
      <c r="AE33" s="2">
        <f t="shared" ref="AE33:AE53" si="44">AD32</f>
        <v>120.55600000000001</v>
      </c>
      <c r="AF33" s="2">
        <f t="shared" ref="AF33:AF53" si="45">AC33-AE33</f>
        <v>-1.5560000000000116</v>
      </c>
      <c r="AG33" s="2">
        <f t="shared" ref="AG33:AG53" si="46">(ABS(AF33)/AC33)*100</f>
        <v>1.3075630252100938</v>
      </c>
      <c r="AI33">
        <v>4</v>
      </c>
      <c r="AJ33">
        <f t="shared" si="29"/>
        <v>119</v>
      </c>
      <c r="AK33">
        <f t="shared" si="34"/>
        <v>119.11060000000001</v>
      </c>
      <c r="AL33">
        <f t="shared" ref="AL33:AL53" si="47">AK32</f>
        <v>120.10599999999999</v>
      </c>
      <c r="AM33">
        <f t="shared" ref="AM33:AM53" si="48">AJ33-AL33</f>
        <v>-1.1059999999999945</v>
      </c>
      <c r="AN33">
        <f t="shared" ref="AN33:AN53" si="49">(ABS(AM33)/AJ33)*100</f>
        <v>0.92941176470587772</v>
      </c>
    </row>
    <row r="34" spans="7:40" x14ac:dyDescent="0.35">
      <c r="G34">
        <v>5</v>
      </c>
      <c r="H34">
        <f t="shared" si="25"/>
        <v>124.1</v>
      </c>
      <c r="I34">
        <f t="shared" si="30"/>
        <v>125.78426000000002</v>
      </c>
      <c r="J34">
        <f t="shared" si="35"/>
        <v>125.97140000000002</v>
      </c>
      <c r="K34">
        <f t="shared" si="36"/>
        <v>-1.8714000000000226</v>
      </c>
      <c r="L34">
        <f t="shared" si="37"/>
        <v>1.5079774375503809</v>
      </c>
      <c r="N34">
        <v>5</v>
      </c>
      <c r="O34">
        <f t="shared" si="26"/>
        <v>124.1</v>
      </c>
      <c r="P34">
        <f t="shared" si="31"/>
        <v>122.71245999999999</v>
      </c>
      <c r="Q34">
        <f t="shared" si="38"/>
        <v>122.11779999999999</v>
      </c>
      <c r="R34">
        <f t="shared" si="39"/>
        <v>1.982200000000006</v>
      </c>
      <c r="S34">
        <f t="shared" si="40"/>
        <v>1.5972602739726074</v>
      </c>
      <c r="U34">
        <v>5</v>
      </c>
      <c r="V34">
        <f t="shared" si="27"/>
        <v>124.1</v>
      </c>
      <c r="W34">
        <f t="shared" si="32"/>
        <v>122.1125</v>
      </c>
      <c r="X34">
        <f t="shared" si="41"/>
        <v>120.125</v>
      </c>
      <c r="Y34">
        <f t="shared" si="42"/>
        <v>3.9749999999999943</v>
      </c>
      <c r="Z34">
        <f t="shared" si="43"/>
        <v>3.2030620467364983</v>
      </c>
      <c r="AB34" s="2">
        <v>5</v>
      </c>
      <c r="AC34" s="2">
        <f t="shared" si="28"/>
        <v>124.1</v>
      </c>
      <c r="AD34" s="2">
        <f t="shared" si="33"/>
        <v>122.30896</v>
      </c>
      <c r="AE34" s="2">
        <f t="shared" si="44"/>
        <v>119.6224</v>
      </c>
      <c r="AF34" s="2">
        <f t="shared" si="45"/>
        <v>4.4775999999999954</v>
      </c>
      <c r="AG34" s="2">
        <f t="shared" si="46"/>
        <v>3.6080580177276356</v>
      </c>
      <c r="AI34">
        <v>5</v>
      </c>
      <c r="AJ34">
        <f t="shared" si="29"/>
        <v>124.1</v>
      </c>
      <c r="AK34">
        <f t="shared" si="34"/>
        <v>123.60105999999999</v>
      </c>
      <c r="AL34">
        <f t="shared" si="47"/>
        <v>119.11060000000001</v>
      </c>
      <c r="AM34">
        <f t="shared" si="48"/>
        <v>4.9893999999999892</v>
      </c>
      <c r="AN34">
        <f t="shared" si="49"/>
        <v>4.0204673650281944</v>
      </c>
    </row>
    <row r="35" spans="7:40" x14ac:dyDescent="0.35">
      <c r="G35">
        <v>6</v>
      </c>
      <c r="H35">
        <f t="shared" si="25"/>
        <v>119.9</v>
      </c>
      <c r="I35">
        <f t="shared" si="30"/>
        <v>125.19583400000002</v>
      </c>
      <c r="J35">
        <f t="shared" si="35"/>
        <v>125.78426000000002</v>
      </c>
      <c r="K35">
        <f t="shared" si="36"/>
        <v>-5.8842600000000118</v>
      </c>
      <c r="L35">
        <f t="shared" si="37"/>
        <v>4.9076396997498009</v>
      </c>
      <c r="N35">
        <v>6</v>
      </c>
      <c r="O35">
        <f t="shared" si="26"/>
        <v>119.9</v>
      </c>
      <c r="P35">
        <f t="shared" si="31"/>
        <v>121.86872199999999</v>
      </c>
      <c r="Q35">
        <f t="shared" si="38"/>
        <v>122.71245999999999</v>
      </c>
      <c r="R35">
        <f t="shared" si="39"/>
        <v>-2.8124599999999873</v>
      </c>
      <c r="S35">
        <f t="shared" si="40"/>
        <v>2.3456713928273456</v>
      </c>
      <c r="U35">
        <v>6</v>
      </c>
      <c r="V35">
        <f t="shared" si="27"/>
        <v>119.9</v>
      </c>
      <c r="W35">
        <f t="shared" si="32"/>
        <v>121.00624999999999</v>
      </c>
      <c r="X35">
        <f t="shared" si="41"/>
        <v>122.1125</v>
      </c>
      <c r="Y35">
        <f t="shared" si="42"/>
        <v>-2.2124999999999915</v>
      </c>
      <c r="Z35">
        <f t="shared" si="43"/>
        <v>1.8452877397831455</v>
      </c>
      <c r="AB35" s="2">
        <v>6</v>
      </c>
      <c r="AC35" s="2">
        <f t="shared" si="28"/>
        <v>119.9</v>
      </c>
      <c r="AD35" s="2">
        <f t="shared" si="33"/>
        <v>120.863584</v>
      </c>
      <c r="AE35" s="2">
        <f t="shared" si="44"/>
        <v>122.30896</v>
      </c>
      <c r="AF35" s="2">
        <f t="shared" si="45"/>
        <v>-2.4089599999999933</v>
      </c>
      <c r="AG35" s="2">
        <f t="shared" si="46"/>
        <v>2.0091409507923212</v>
      </c>
      <c r="AI35">
        <v>6</v>
      </c>
      <c r="AJ35">
        <f t="shared" si="29"/>
        <v>119.9</v>
      </c>
      <c r="AK35">
        <f t="shared" si="34"/>
        <v>120.27010600000001</v>
      </c>
      <c r="AL35">
        <f t="shared" si="47"/>
        <v>123.60105999999999</v>
      </c>
      <c r="AM35">
        <f t="shared" si="48"/>
        <v>-3.701059999999984</v>
      </c>
      <c r="AN35">
        <f t="shared" si="49"/>
        <v>3.0867889908256747</v>
      </c>
    </row>
    <row r="36" spans="7:40" x14ac:dyDescent="0.35">
      <c r="G36">
        <v>7</v>
      </c>
      <c r="H36">
        <f t="shared" si="25"/>
        <v>115.9</v>
      </c>
      <c r="I36">
        <f t="shared" si="30"/>
        <v>124.26625060000002</v>
      </c>
      <c r="J36">
        <f t="shared" si="35"/>
        <v>125.19583400000002</v>
      </c>
      <c r="K36">
        <f t="shared" si="36"/>
        <v>-9.2958340000000135</v>
      </c>
      <c r="L36">
        <f t="shared" si="37"/>
        <v>8.0205642795513477</v>
      </c>
      <c r="N36">
        <v>7</v>
      </c>
      <c r="O36">
        <f t="shared" si="26"/>
        <v>115.9</v>
      </c>
      <c r="P36">
        <f t="shared" si="31"/>
        <v>120.0781054</v>
      </c>
      <c r="Q36">
        <f t="shared" si="38"/>
        <v>121.86872199999999</v>
      </c>
      <c r="R36">
        <f t="shared" si="39"/>
        <v>-5.9687219999999854</v>
      </c>
      <c r="S36">
        <f t="shared" si="40"/>
        <v>5.1498895599654748</v>
      </c>
      <c r="U36">
        <v>7</v>
      </c>
      <c r="V36">
        <f t="shared" si="27"/>
        <v>115.9</v>
      </c>
      <c r="W36">
        <f t="shared" si="32"/>
        <v>118.453125</v>
      </c>
      <c r="X36">
        <f t="shared" si="41"/>
        <v>121.00624999999999</v>
      </c>
      <c r="Y36">
        <f t="shared" si="42"/>
        <v>-5.1062499999999886</v>
      </c>
      <c r="Z36">
        <f t="shared" si="43"/>
        <v>4.4057377049180229</v>
      </c>
      <c r="AB36" s="2">
        <v>7</v>
      </c>
      <c r="AC36" s="2">
        <f t="shared" si="28"/>
        <v>115.9</v>
      </c>
      <c r="AD36" s="2">
        <f t="shared" si="33"/>
        <v>117.88543360000001</v>
      </c>
      <c r="AE36" s="2">
        <f t="shared" si="44"/>
        <v>120.863584</v>
      </c>
      <c r="AF36" s="2">
        <f t="shared" si="45"/>
        <v>-4.9635839999999973</v>
      </c>
      <c r="AG36" s="2">
        <f t="shared" si="46"/>
        <v>4.2826436583261405</v>
      </c>
      <c r="AI36">
        <v>7</v>
      </c>
      <c r="AJ36">
        <f t="shared" si="29"/>
        <v>115.9</v>
      </c>
      <c r="AK36">
        <f t="shared" si="34"/>
        <v>116.3370106</v>
      </c>
      <c r="AL36">
        <f t="shared" si="47"/>
        <v>120.27010600000001</v>
      </c>
      <c r="AM36">
        <f t="shared" si="48"/>
        <v>-4.3701060000000069</v>
      </c>
      <c r="AN36">
        <f t="shared" si="49"/>
        <v>3.7705832614322747</v>
      </c>
    </row>
    <row r="37" spans="7:40" x14ac:dyDescent="0.35">
      <c r="G37">
        <v>8</v>
      </c>
      <c r="H37">
        <f t="shared" si="25"/>
        <v>117.1</v>
      </c>
      <c r="I37">
        <f t="shared" si="30"/>
        <v>123.54962554000002</v>
      </c>
      <c r="J37">
        <f t="shared" si="35"/>
        <v>124.26625060000002</v>
      </c>
      <c r="K37">
        <f t="shared" si="36"/>
        <v>-7.1662506000000263</v>
      </c>
      <c r="L37">
        <f t="shared" si="37"/>
        <v>6.1197699402220547</v>
      </c>
      <c r="N37">
        <v>8</v>
      </c>
      <c r="O37">
        <f t="shared" si="26"/>
        <v>117.1</v>
      </c>
      <c r="P37">
        <f t="shared" si="31"/>
        <v>119.18467377999998</v>
      </c>
      <c r="Q37">
        <f t="shared" si="38"/>
        <v>120.0781054</v>
      </c>
      <c r="R37">
        <f t="shared" si="39"/>
        <v>-2.978105400000004</v>
      </c>
      <c r="S37">
        <f t="shared" si="40"/>
        <v>2.5432155422715663</v>
      </c>
      <c r="U37">
        <v>8</v>
      </c>
      <c r="V37">
        <f t="shared" si="27"/>
        <v>117.1</v>
      </c>
      <c r="W37">
        <f t="shared" si="32"/>
        <v>117.7765625</v>
      </c>
      <c r="X37">
        <f t="shared" si="41"/>
        <v>118.453125</v>
      </c>
      <c r="Y37">
        <f t="shared" si="42"/>
        <v>-1.3531250000000057</v>
      </c>
      <c r="Z37">
        <f t="shared" si="43"/>
        <v>1.155529461998297</v>
      </c>
      <c r="AB37" s="2">
        <v>8</v>
      </c>
      <c r="AC37" s="2">
        <f t="shared" si="28"/>
        <v>117.1</v>
      </c>
      <c r="AD37" s="2">
        <f t="shared" si="33"/>
        <v>117.41417344</v>
      </c>
      <c r="AE37" s="2">
        <f t="shared" si="44"/>
        <v>117.88543360000001</v>
      </c>
      <c r="AF37" s="2">
        <f t="shared" si="45"/>
        <v>-0.78543360000001883</v>
      </c>
      <c r="AG37" s="2">
        <f t="shared" si="46"/>
        <v>0.67073748932537902</v>
      </c>
      <c r="AI37">
        <v>8</v>
      </c>
      <c r="AJ37">
        <f t="shared" si="29"/>
        <v>117.1</v>
      </c>
      <c r="AK37">
        <f t="shared" si="34"/>
        <v>117.02370105999999</v>
      </c>
      <c r="AL37">
        <f t="shared" si="47"/>
        <v>116.3370106</v>
      </c>
      <c r="AM37">
        <f t="shared" si="48"/>
        <v>0.76298939999999504</v>
      </c>
      <c r="AN37">
        <f t="shared" si="49"/>
        <v>0.65157079419299324</v>
      </c>
    </row>
    <row r="38" spans="7:40" x14ac:dyDescent="0.35">
      <c r="G38">
        <v>9</v>
      </c>
      <c r="H38">
        <f t="shared" si="25"/>
        <v>122.4</v>
      </c>
      <c r="I38">
        <f t="shared" si="30"/>
        <v>123.43466298600003</v>
      </c>
      <c r="J38">
        <f t="shared" si="35"/>
        <v>123.54962554000002</v>
      </c>
      <c r="K38">
        <f t="shared" si="36"/>
        <v>-1.1496255400000166</v>
      </c>
      <c r="L38">
        <f t="shared" si="37"/>
        <v>0.93923655228759528</v>
      </c>
      <c r="N38">
        <v>9</v>
      </c>
      <c r="O38">
        <f t="shared" si="26"/>
        <v>122.4</v>
      </c>
      <c r="P38">
        <f t="shared" si="31"/>
        <v>120.14927164599999</v>
      </c>
      <c r="Q38">
        <f t="shared" si="38"/>
        <v>119.18467377999998</v>
      </c>
      <c r="R38">
        <f t="shared" si="39"/>
        <v>3.2153262200000228</v>
      </c>
      <c r="S38">
        <f t="shared" si="40"/>
        <v>2.6269005065359665</v>
      </c>
      <c r="U38">
        <v>9</v>
      </c>
      <c r="V38">
        <f t="shared" si="27"/>
        <v>122.4</v>
      </c>
      <c r="W38">
        <f t="shared" si="32"/>
        <v>120.08828124999999</v>
      </c>
      <c r="X38">
        <f t="shared" si="41"/>
        <v>117.7765625</v>
      </c>
      <c r="Y38">
        <f t="shared" si="42"/>
        <v>4.6234375000000085</v>
      </c>
      <c r="Z38">
        <f t="shared" si="43"/>
        <v>3.7773182189542549</v>
      </c>
      <c r="AB38" s="2">
        <v>9</v>
      </c>
      <c r="AC38" s="2">
        <f t="shared" si="28"/>
        <v>122.4</v>
      </c>
      <c r="AD38" s="2">
        <f t="shared" si="33"/>
        <v>120.40566937599999</v>
      </c>
      <c r="AE38" s="2">
        <f t="shared" si="44"/>
        <v>117.41417344</v>
      </c>
      <c r="AF38" s="2">
        <f t="shared" si="45"/>
        <v>4.9858265600000067</v>
      </c>
      <c r="AG38" s="2">
        <f t="shared" si="46"/>
        <v>4.073387712418306</v>
      </c>
      <c r="AI38">
        <v>9</v>
      </c>
      <c r="AJ38">
        <f t="shared" si="29"/>
        <v>122.4</v>
      </c>
      <c r="AK38">
        <f t="shared" si="34"/>
        <v>121.86237010600001</v>
      </c>
      <c r="AL38">
        <f t="shared" si="47"/>
        <v>117.02370105999999</v>
      </c>
      <c r="AM38">
        <f t="shared" si="48"/>
        <v>5.3762989400000123</v>
      </c>
      <c r="AN38">
        <f t="shared" si="49"/>
        <v>4.3924010947712517</v>
      </c>
    </row>
    <row r="39" spans="7:40" x14ac:dyDescent="0.35">
      <c r="G39">
        <v>10</v>
      </c>
      <c r="H39">
        <f t="shared" si="25"/>
        <v>122.3</v>
      </c>
      <c r="I39">
        <f t="shared" si="30"/>
        <v>123.32119668740003</v>
      </c>
      <c r="J39">
        <f t="shared" si="35"/>
        <v>123.43466298600003</v>
      </c>
      <c r="K39">
        <f t="shared" si="36"/>
        <v>-1.1346629860000377</v>
      </c>
      <c r="L39">
        <f t="shared" si="37"/>
        <v>0.92777022567460155</v>
      </c>
      <c r="N39">
        <v>10</v>
      </c>
      <c r="O39">
        <f t="shared" si="26"/>
        <v>122.3</v>
      </c>
      <c r="P39">
        <f t="shared" si="31"/>
        <v>120.79449015219998</v>
      </c>
      <c r="Q39">
        <f t="shared" si="38"/>
        <v>120.14927164599999</v>
      </c>
      <c r="R39">
        <f t="shared" si="39"/>
        <v>2.1507283540000088</v>
      </c>
      <c r="S39">
        <f t="shared" si="40"/>
        <v>1.7585677465249459</v>
      </c>
      <c r="U39">
        <v>10</v>
      </c>
      <c r="V39">
        <f t="shared" si="27"/>
        <v>122.3</v>
      </c>
      <c r="W39">
        <f t="shared" si="32"/>
        <v>121.19414062499999</v>
      </c>
      <c r="X39">
        <f t="shared" si="41"/>
        <v>120.08828124999999</v>
      </c>
      <c r="Y39">
        <f t="shared" si="42"/>
        <v>2.2117187500000028</v>
      </c>
      <c r="Z39">
        <f t="shared" si="43"/>
        <v>1.8084372444807872</v>
      </c>
      <c r="AB39" s="2">
        <v>10</v>
      </c>
      <c r="AC39" s="2">
        <f t="shared" si="28"/>
        <v>122.3</v>
      </c>
      <c r="AD39" s="2">
        <f t="shared" si="33"/>
        <v>121.54226775039999</v>
      </c>
      <c r="AE39" s="2">
        <f t="shared" si="44"/>
        <v>120.40566937599999</v>
      </c>
      <c r="AF39" s="2">
        <f t="shared" si="45"/>
        <v>1.8943306240000055</v>
      </c>
      <c r="AG39" s="2">
        <f t="shared" si="46"/>
        <v>1.5489211970564232</v>
      </c>
      <c r="AI39">
        <v>10</v>
      </c>
      <c r="AJ39">
        <f t="shared" si="29"/>
        <v>122.3</v>
      </c>
      <c r="AK39">
        <f t="shared" si="34"/>
        <v>122.25623701059999</v>
      </c>
      <c r="AL39">
        <f t="shared" si="47"/>
        <v>121.86237010600001</v>
      </c>
      <c r="AM39">
        <f t="shared" si="48"/>
        <v>0.43762989399998276</v>
      </c>
      <c r="AN39">
        <f t="shared" si="49"/>
        <v>0.35783311038428678</v>
      </c>
    </row>
    <row r="40" spans="7:40" x14ac:dyDescent="0.35">
      <c r="G40">
        <v>11</v>
      </c>
      <c r="H40">
        <f t="shared" si="25"/>
        <v>117.9</v>
      </c>
      <c r="I40">
        <f t="shared" si="30"/>
        <v>122.77907701866003</v>
      </c>
      <c r="J40">
        <f t="shared" si="35"/>
        <v>123.32119668740003</v>
      </c>
      <c r="K40">
        <f t="shared" si="36"/>
        <v>-5.4211966874000268</v>
      </c>
      <c r="L40">
        <f t="shared" si="37"/>
        <v>4.5981312022052814</v>
      </c>
      <c r="N40">
        <v>11</v>
      </c>
      <c r="O40">
        <f t="shared" si="26"/>
        <v>117.9</v>
      </c>
      <c r="P40">
        <f t="shared" si="31"/>
        <v>119.92614310653997</v>
      </c>
      <c r="Q40">
        <f t="shared" si="38"/>
        <v>120.79449015219998</v>
      </c>
      <c r="R40">
        <f t="shared" si="39"/>
        <v>-2.8944901521999782</v>
      </c>
      <c r="S40">
        <f t="shared" si="40"/>
        <v>2.4550382970313636</v>
      </c>
      <c r="U40">
        <v>11</v>
      </c>
      <c r="V40">
        <f t="shared" si="27"/>
        <v>117.9</v>
      </c>
      <c r="W40">
        <f t="shared" si="32"/>
        <v>119.5470703125</v>
      </c>
      <c r="X40">
        <f t="shared" si="41"/>
        <v>121.19414062499999</v>
      </c>
      <c r="Y40">
        <f t="shared" si="42"/>
        <v>-3.2941406249999829</v>
      </c>
      <c r="Z40">
        <f t="shared" si="43"/>
        <v>2.7940124045801382</v>
      </c>
      <c r="AB40" s="2">
        <v>11</v>
      </c>
      <c r="AC40" s="2">
        <f t="shared" si="28"/>
        <v>117.9</v>
      </c>
      <c r="AD40" s="2">
        <f t="shared" si="33"/>
        <v>119.35690710015999</v>
      </c>
      <c r="AE40" s="2">
        <f t="shared" si="44"/>
        <v>121.54226775039999</v>
      </c>
      <c r="AF40" s="2">
        <f t="shared" si="45"/>
        <v>-3.6422677503999807</v>
      </c>
      <c r="AG40" s="2">
        <f t="shared" si="46"/>
        <v>3.0892856237489235</v>
      </c>
      <c r="AI40">
        <v>11</v>
      </c>
      <c r="AJ40">
        <f t="shared" si="29"/>
        <v>117.9</v>
      </c>
      <c r="AK40">
        <f t="shared" si="34"/>
        <v>118.33562370106002</v>
      </c>
      <c r="AL40">
        <f t="shared" si="47"/>
        <v>122.25623701059999</v>
      </c>
      <c r="AM40">
        <f t="shared" si="48"/>
        <v>-4.3562370105999833</v>
      </c>
      <c r="AN40">
        <f t="shared" si="49"/>
        <v>3.6948575153519791</v>
      </c>
    </row>
    <row r="41" spans="7:40" x14ac:dyDescent="0.35">
      <c r="G41">
        <v>12</v>
      </c>
      <c r="H41">
        <f t="shared" si="25"/>
        <v>126.6</v>
      </c>
      <c r="I41">
        <f t="shared" si="30"/>
        <v>123.16116931679403</v>
      </c>
      <c r="J41">
        <f t="shared" si="35"/>
        <v>122.77907701866003</v>
      </c>
      <c r="K41">
        <f t="shared" si="36"/>
        <v>3.8209229813399617</v>
      </c>
      <c r="L41">
        <f t="shared" si="37"/>
        <v>3.0181066203317233</v>
      </c>
      <c r="N41">
        <v>12</v>
      </c>
      <c r="O41">
        <f t="shared" si="26"/>
        <v>126.6</v>
      </c>
      <c r="P41">
        <f t="shared" si="31"/>
        <v>121.92830017457797</v>
      </c>
      <c r="Q41">
        <f t="shared" si="38"/>
        <v>119.92614310653997</v>
      </c>
      <c r="R41">
        <f t="shared" si="39"/>
        <v>6.6738568934600266</v>
      </c>
      <c r="S41">
        <f t="shared" si="40"/>
        <v>5.2716089205845398</v>
      </c>
      <c r="U41">
        <v>12</v>
      </c>
      <c r="V41">
        <f t="shared" si="27"/>
        <v>126.6</v>
      </c>
      <c r="W41">
        <f t="shared" si="32"/>
        <v>123.07353515624999</v>
      </c>
      <c r="X41">
        <f t="shared" si="41"/>
        <v>119.5470703125</v>
      </c>
      <c r="Y41">
        <f t="shared" si="42"/>
        <v>7.0529296874999972</v>
      </c>
      <c r="Z41">
        <f t="shared" si="43"/>
        <v>5.5710345082938364</v>
      </c>
      <c r="AB41" s="2">
        <v>12</v>
      </c>
      <c r="AC41" s="2">
        <f t="shared" si="28"/>
        <v>126.6</v>
      </c>
      <c r="AD41" s="2">
        <f t="shared" si="33"/>
        <v>123.702762840064</v>
      </c>
      <c r="AE41" s="2">
        <f t="shared" si="44"/>
        <v>119.35690710015999</v>
      </c>
      <c r="AF41" s="2">
        <f t="shared" si="45"/>
        <v>7.2430928998400077</v>
      </c>
      <c r="AG41" s="2">
        <f t="shared" si="46"/>
        <v>5.7212424169352358</v>
      </c>
      <c r="AI41">
        <v>12</v>
      </c>
      <c r="AJ41">
        <f t="shared" si="29"/>
        <v>126.6</v>
      </c>
      <c r="AK41">
        <f t="shared" si="34"/>
        <v>125.77356237010599</v>
      </c>
      <c r="AL41">
        <f t="shared" si="47"/>
        <v>118.33562370106002</v>
      </c>
      <c r="AM41">
        <f t="shared" si="48"/>
        <v>8.2643762989399789</v>
      </c>
      <c r="AN41">
        <f t="shared" si="49"/>
        <v>6.5279433640916107</v>
      </c>
    </row>
    <row r="42" spans="7:40" x14ac:dyDescent="0.35">
      <c r="G42">
        <v>13</v>
      </c>
      <c r="H42">
        <f t="shared" si="25"/>
        <v>127.4</v>
      </c>
      <c r="I42">
        <f t="shared" si="30"/>
        <v>123.58505238511464</v>
      </c>
      <c r="J42">
        <f t="shared" si="35"/>
        <v>123.16116931679403</v>
      </c>
      <c r="K42">
        <f t="shared" si="36"/>
        <v>4.2388306832059754</v>
      </c>
      <c r="L42">
        <f t="shared" si="37"/>
        <v>3.3271826398791013</v>
      </c>
      <c r="N42">
        <v>13</v>
      </c>
      <c r="O42">
        <f t="shared" si="26"/>
        <v>127.4</v>
      </c>
      <c r="P42">
        <f t="shared" si="31"/>
        <v>123.56981012220457</v>
      </c>
      <c r="Q42">
        <f t="shared" si="38"/>
        <v>121.92830017457797</v>
      </c>
      <c r="R42">
        <f t="shared" si="39"/>
        <v>5.4716998254220357</v>
      </c>
      <c r="S42">
        <f t="shared" si="40"/>
        <v>4.2948978221523042</v>
      </c>
      <c r="U42">
        <v>13</v>
      </c>
      <c r="V42">
        <f t="shared" si="27"/>
        <v>127.4</v>
      </c>
      <c r="W42">
        <f t="shared" si="32"/>
        <v>125.236767578125</v>
      </c>
      <c r="X42">
        <f t="shared" si="41"/>
        <v>123.07353515624999</v>
      </c>
      <c r="Y42">
        <f t="shared" si="42"/>
        <v>4.3264648437500171</v>
      </c>
      <c r="Z42">
        <f t="shared" si="43"/>
        <v>3.3959692651099034</v>
      </c>
      <c r="AB42" s="2">
        <v>13</v>
      </c>
      <c r="AC42" s="2">
        <f t="shared" si="28"/>
        <v>127.4</v>
      </c>
      <c r="AD42" s="2">
        <f t="shared" si="33"/>
        <v>125.9211051360256</v>
      </c>
      <c r="AE42" s="2">
        <f t="shared" si="44"/>
        <v>123.702762840064</v>
      </c>
      <c r="AF42" s="2">
        <f t="shared" si="45"/>
        <v>3.6972371599360088</v>
      </c>
      <c r="AG42" s="2">
        <f t="shared" si="46"/>
        <v>2.9020699842511841</v>
      </c>
      <c r="AI42">
        <v>13</v>
      </c>
      <c r="AJ42">
        <f t="shared" si="29"/>
        <v>127.4</v>
      </c>
      <c r="AK42">
        <f t="shared" si="34"/>
        <v>127.2373562370106</v>
      </c>
      <c r="AL42">
        <f t="shared" si="47"/>
        <v>125.77356237010599</v>
      </c>
      <c r="AM42">
        <f t="shared" si="48"/>
        <v>1.6264376298940135</v>
      </c>
      <c r="AN42">
        <f t="shared" si="49"/>
        <v>1.2766386419890217</v>
      </c>
    </row>
    <row r="43" spans="7:40" x14ac:dyDescent="0.35">
      <c r="G43">
        <v>14</v>
      </c>
      <c r="H43">
        <f t="shared" si="25"/>
        <v>124.5</v>
      </c>
      <c r="I43">
        <f t="shared" si="30"/>
        <v>123.67654714660318</v>
      </c>
      <c r="J43">
        <f t="shared" si="35"/>
        <v>123.58505238511464</v>
      </c>
      <c r="K43">
        <f t="shared" si="36"/>
        <v>0.91494761488536369</v>
      </c>
      <c r="L43">
        <f t="shared" si="37"/>
        <v>0.73489768263884625</v>
      </c>
      <c r="N43">
        <v>14</v>
      </c>
      <c r="O43">
        <f t="shared" si="26"/>
        <v>124.5</v>
      </c>
      <c r="P43">
        <f t="shared" si="31"/>
        <v>123.84886708554319</v>
      </c>
      <c r="Q43">
        <f t="shared" si="38"/>
        <v>123.56981012220457</v>
      </c>
      <c r="R43">
        <f t="shared" si="39"/>
        <v>0.93018987779542783</v>
      </c>
      <c r="S43">
        <f t="shared" si="40"/>
        <v>0.74714046409271306</v>
      </c>
      <c r="U43">
        <v>14</v>
      </c>
      <c r="V43">
        <f t="shared" si="27"/>
        <v>124.5</v>
      </c>
      <c r="W43">
        <f t="shared" si="32"/>
        <v>124.86838378906251</v>
      </c>
      <c r="X43">
        <f t="shared" si="41"/>
        <v>125.236767578125</v>
      </c>
      <c r="Y43">
        <f t="shared" si="42"/>
        <v>-0.73676757812499716</v>
      </c>
      <c r="Z43">
        <f t="shared" si="43"/>
        <v>0.59178118724899376</v>
      </c>
      <c r="AB43" s="2">
        <v>14</v>
      </c>
      <c r="AC43" s="2">
        <f t="shared" si="28"/>
        <v>124.5</v>
      </c>
      <c r="AD43" s="2">
        <f t="shared" si="33"/>
        <v>125.06844205441024</v>
      </c>
      <c r="AE43" s="2">
        <f t="shared" si="44"/>
        <v>125.9211051360256</v>
      </c>
      <c r="AF43" s="2">
        <f t="shared" si="45"/>
        <v>-1.4211051360256022</v>
      </c>
      <c r="AG43" s="2">
        <f t="shared" si="46"/>
        <v>1.1414499084542988</v>
      </c>
      <c r="AI43">
        <v>14</v>
      </c>
      <c r="AJ43">
        <f t="shared" si="29"/>
        <v>124.5</v>
      </c>
      <c r="AK43">
        <f t="shared" si="34"/>
        <v>124.77373562370106</v>
      </c>
      <c r="AL43">
        <f t="shared" si="47"/>
        <v>127.2373562370106</v>
      </c>
      <c r="AM43">
        <f t="shared" si="48"/>
        <v>-2.7373562370106015</v>
      </c>
      <c r="AN43">
        <f t="shared" si="49"/>
        <v>2.1986797084422505</v>
      </c>
    </row>
    <row r="44" spans="7:40" x14ac:dyDescent="0.35">
      <c r="G44">
        <v>15</v>
      </c>
      <c r="H44">
        <f t="shared" si="25"/>
        <v>129.5</v>
      </c>
      <c r="I44">
        <f t="shared" si="30"/>
        <v>124.25889243194287</v>
      </c>
      <c r="J44">
        <f t="shared" si="35"/>
        <v>123.67654714660318</v>
      </c>
      <c r="K44">
        <f t="shared" si="36"/>
        <v>5.823452853396816</v>
      </c>
      <c r="L44">
        <f t="shared" si="37"/>
        <v>4.4968747902678112</v>
      </c>
      <c r="N44">
        <v>15</v>
      </c>
      <c r="O44">
        <f t="shared" si="26"/>
        <v>129.5</v>
      </c>
      <c r="P44">
        <f t="shared" si="31"/>
        <v>125.54420695988023</v>
      </c>
      <c r="Q44">
        <f t="shared" si="38"/>
        <v>123.84886708554319</v>
      </c>
      <c r="R44">
        <f t="shared" si="39"/>
        <v>5.6511329144568094</v>
      </c>
      <c r="S44">
        <f t="shared" si="40"/>
        <v>4.3638092003527484</v>
      </c>
      <c r="U44">
        <v>15</v>
      </c>
      <c r="V44">
        <f t="shared" si="27"/>
        <v>129.5</v>
      </c>
      <c r="W44">
        <f t="shared" si="32"/>
        <v>127.18419189453125</v>
      </c>
      <c r="X44">
        <f t="shared" si="41"/>
        <v>124.86838378906251</v>
      </c>
      <c r="Y44">
        <f t="shared" si="42"/>
        <v>4.6316162109374943</v>
      </c>
      <c r="Z44">
        <f t="shared" si="43"/>
        <v>3.5765376146235477</v>
      </c>
      <c r="AB44" s="2">
        <v>15</v>
      </c>
      <c r="AC44" s="2">
        <f t="shared" si="28"/>
        <v>129.5</v>
      </c>
      <c r="AD44" s="2">
        <f t="shared" si="33"/>
        <v>127.7273768217641</v>
      </c>
      <c r="AE44" s="2">
        <f t="shared" si="44"/>
        <v>125.06844205441024</v>
      </c>
      <c r="AF44" s="2">
        <f t="shared" si="45"/>
        <v>4.4315579455897591</v>
      </c>
      <c r="AG44" s="2">
        <f t="shared" si="46"/>
        <v>3.4220524676368798</v>
      </c>
      <c r="AI44">
        <v>15</v>
      </c>
      <c r="AJ44">
        <f t="shared" si="29"/>
        <v>129.5</v>
      </c>
      <c r="AK44">
        <f t="shared" si="34"/>
        <v>129.02737356237009</v>
      </c>
      <c r="AL44">
        <f t="shared" si="47"/>
        <v>124.77373562370106</v>
      </c>
      <c r="AM44">
        <f t="shared" si="48"/>
        <v>4.7262643762989427</v>
      </c>
      <c r="AN44">
        <f t="shared" si="49"/>
        <v>3.6496250010030442</v>
      </c>
    </row>
    <row r="45" spans="7:40" x14ac:dyDescent="0.35">
      <c r="G45">
        <v>16</v>
      </c>
      <c r="H45">
        <f t="shared" si="25"/>
        <v>141</v>
      </c>
      <c r="I45">
        <f t="shared" si="30"/>
        <v>125.93300318874859</v>
      </c>
      <c r="J45">
        <f t="shared" si="35"/>
        <v>124.25889243194287</v>
      </c>
      <c r="K45">
        <f t="shared" si="36"/>
        <v>16.741107568057132</v>
      </c>
      <c r="L45">
        <f t="shared" si="37"/>
        <v>11.873125934792292</v>
      </c>
      <c r="N45">
        <v>16</v>
      </c>
      <c r="O45">
        <f t="shared" si="26"/>
        <v>141</v>
      </c>
      <c r="P45">
        <f t="shared" si="31"/>
        <v>130.18094487191615</v>
      </c>
      <c r="Q45">
        <f t="shared" si="38"/>
        <v>125.54420695988023</v>
      </c>
      <c r="R45">
        <f t="shared" si="39"/>
        <v>15.455793040119772</v>
      </c>
      <c r="S45">
        <f t="shared" si="40"/>
        <v>10.961555347602674</v>
      </c>
      <c r="U45">
        <v>16</v>
      </c>
      <c r="V45">
        <f t="shared" si="27"/>
        <v>141</v>
      </c>
      <c r="W45">
        <f t="shared" si="32"/>
        <v>134.09209594726562</v>
      </c>
      <c r="X45">
        <f t="shared" si="41"/>
        <v>127.18419189453125</v>
      </c>
      <c r="Y45">
        <f t="shared" si="42"/>
        <v>13.815808105468747</v>
      </c>
      <c r="Z45">
        <f t="shared" si="43"/>
        <v>9.7984454648714525</v>
      </c>
      <c r="AB45" s="2">
        <v>16</v>
      </c>
      <c r="AC45" s="2">
        <f t="shared" si="28"/>
        <v>141</v>
      </c>
      <c r="AD45" s="2">
        <f t="shared" si="33"/>
        <v>135.69095072870564</v>
      </c>
      <c r="AE45" s="2">
        <f t="shared" si="44"/>
        <v>127.7273768217641</v>
      </c>
      <c r="AF45" s="2">
        <f t="shared" si="45"/>
        <v>13.272623178235904</v>
      </c>
      <c r="AG45" s="2">
        <f t="shared" si="46"/>
        <v>9.4132079278268819</v>
      </c>
      <c r="AI45">
        <v>16</v>
      </c>
      <c r="AJ45">
        <f t="shared" si="29"/>
        <v>141</v>
      </c>
      <c r="AK45">
        <f t="shared" si="34"/>
        <v>139.802737356237</v>
      </c>
      <c r="AL45">
        <f t="shared" si="47"/>
        <v>129.02737356237009</v>
      </c>
      <c r="AM45">
        <f t="shared" si="48"/>
        <v>11.972626437629913</v>
      </c>
      <c r="AN45">
        <f t="shared" si="49"/>
        <v>8.4912244238510013</v>
      </c>
    </row>
    <row r="46" spans="7:40" x14ac:dyDescent="0.35">
      <c r="G46">
        <v>17</v>
      </c>
      <c r="H46">
        <f t="shared" si="25"/>
        <v>139.5</v>
      </c>
      <c r="I46">
        <f t="shared" si="30"/>
        <v>127.28970286987374</v>
      </c>
      <c r="J46">
        <f t="shared" si="35"/>
        <v>125.93300318874859</v>
      </c>
      <c r="K46">
        <f t="shared" si="36"/>
        <v>13.566996811251414</v>
      </c>
      <c r="L46">
        <f t="shared" si="37"/>
        <v>9.7254457428325551</v>
      </c>
      <c r="N46">
        <v>17</v>
      </c>
      <c r="O46">
        <f t="shared" si="26"/>
        <v>139.5</v>
      </c>
      <c r="P46">
        <f t="shared" si="31"/>
        <v>132.97666141034131</v>
      </c>
      <c r="Q46">
        <f t="shared" si="38"/>
        <v>130.18094487191615</v>
      </c>
      <c r="R46">
        <f t="shared" si="39"/>
        <v>9.3190551280838463</v>
      </c>
      <c r="S46">
        <f t="shared" si="40"/>
        <v>6.6803262566909289</v>
      </c>
      <c r="U46">
        <v>17</v>
      </c>
      <c r="V46">
        <f t="shared" si="27"/>
        <v>139.5</v>
      </c>
      <c r="W46">
        <f t="shared" si="32"/>
        <v>136.79604797363282</v>
      </c>
      <c r="X46">
        <f t="shared" si="41"/>
        <v>134.09209594726562</v>
      </c>
      <c r="Y46">
        <f t="shared" si="42"/>
        <v>5.4079040527343807</v>
      </c>
      <c r="Z46">
        <f t="shared" si="43"/>
        <v>3.8766337295586957</v>
      </c>
      <c r="AB46" s="2">
        <v>17</v>
      </c>
      <c r="AC46" s="2">
        <f t="shared" si="28"/>
        <v>139.5</v>
      </c>
      <c r="AD46" s="2">
        <f t="shared" si="33"/>
        <v>137.97638029148226</v>
      </c>
      <c r="AE46" s="2">
        <f t="shared" si="44"/>
        <v>135.69095072870564</v>
      </c>
      <c r="AF46" s="2">
        <f t="shared" si="45"/>
        <v>3.8090492712943558</v>
      </c>
      <c r="AG46" s="2">
        <f t="shared" si="46"/>
        <v>2.7305012697450581</v>
      </c>
      <c r="AI46">
        <v>17</v>
      </c>
      <c r="AJ46">
        <f t="shared" si="29"/>
        <v>139.5</v>
      </c>
      <c r="AK46">
        <f t="shared" si="34"/>
        <v>139.53027373562369</v>
      </c>
      <c r="AL46">
        <f t="shared" si="47"/>
        <v>139.802737356237</v>
      </c>
      <c r="AM46">
        <f t="shared" si="48"/>
        <v>-0.30273735623700304</v>
      </c>
      <c r="AN46">
        <f t="shared" si="49"/>
        <v>0.21701602597634626</v>
      </c>
    </row>
    <row r="47" spans="7:40" x14ac:dyDescent="0.35">
      <c r="G47">
        <v>18</v>
      </c>
      <c r="H47">
        <f t="shared" si="25"/>
        <v>135.6</v>
      </c>
      <c r="I47">
        <f t="shared" si="30"/>
        <v>128.12073258288635</v>
      </c>
      <c r="J47">
        <f t="shared" si="35"/>
        <v>127.28970286987374</v>
      </c>
      <c r="K47">
        <f t="shared" si="36"/>
        <v>8.3102971301262585</v>
      </c>
      <c r="L47">
        <f t="shared" si="37"/>
        <v>6.1285377065827866</v>
      </c>
      <c r="N47">
        <v>18</v>
      </c>
      <c r="O47">
        <f t="shared" si="26"/>
        <v>135.6</v>
      </c>
      <c r="P47">
        <f t="shared" si="31"/>
        <v>133.76366298723892</v>
      </c>
      <c r="Q47">
        <f t="shared" si="38"/>
        <v>132.97666141034131</v>
      </c>
      <c r="R47">
        <f t="shared" si="39"/>
        <v>2.6233385896586867</v>
      </c>
      <c r="S47">
        <f t="shared" si="40"/>
        <v>1.9346154790993264</v>
      </c>
      <c r="U47">
        <v>18</v>
      </c>
      <c r="V47">
        <f t="shared" si="27"/>
        <v>135.6</v>
      </c>
      <c r="W47">
        <f t="shared" si="32"/>
        <v>136.19802398681639</v>
      </c>
      <c r="X47">
        <f t="shared" si="41"/>
        <v>136.79604797363282</v>
      </c>
      <c r="Y47">
        <f t="shared" si="42"/>
        <v>-1.1960479736328296</v>
      </c>
      <c r="Z47">
        <f t="shared" si="43"/>
        <v>0.88204127849028735</v>
      </c>
      <c r="AB47" s="2">
        <v>18</v>
      </c>
      <c r="AC47" s="2">
        <f t="shared" si="28"/>
        <v>135.6</v>
      </c>
      <c r="AD47" s="2">
        <f t="shared" si="33"/>
        <v>136.55055211659291</v>
      </c>
      <c r="AE47" s="2">
        <f t="shared" si="44"/>
        <v>137.97638029148226</v>
      </c>
      <c r="AF47" s="2">
        <f t="shared" si="45"/>
        <v>-2.3763802914822634</v>
      </c>
      <c r="AG47" s="2">
        <f t="shared" si="46"/>
        <v>1.752492840326153</v>
      </c>
      <c r="AI47">
        <v>18</v>
      </c>
      <c r="AJ47">
        <f t="shared" si="29"/>
        <v>135.6</v>
      </c>
      <c r="AK47">
        <f t="shared" si="34"/>
        <v>135.99302737356237</v>
      </c>
      <c r="AL47">
        <f t="shared" si="47"/>
        <v>139.53027373562369</v>
      </c>
      <c r="AM47">
        <f t="shared" si="48"/>
        <v>-3.9302737356237003</v>
      </c>
      <c r="AN47">
        <f t="shared" si="49"/>
        <v>2.8984319584245579</v>
      </c>
    </row>
    <row r="48" spans="7:40" x14ac:dyDescent="0.35">
      <c r="G48">
        <v>19</v>
      </c>
      <c r="H48">
        <f t="shared" si="25"/>
        <v>143.1</v>
      </c>
      <c r="I48">
        <f t="shared" si="30"/>
        <v>129.6186593245977</v>
      </c>
      <c r="J48">
        <f t="shared" si="35"/>
        <v>128.12073258288635</v>
      </c>
      <c r="K48">
        <f t="shared" si="36"/>
        <v>14.979267417113647</v>
      </c>
      <c r="L48">
        <f t="shared" si="37"/>
        <v>10.467692115383402</v>
      </c>
      <c r="N48">
        <v>19</v>
      </c>
      <c r="O48">
        <f t="shared" si="26"/>
        <v>143.1</v>
      </c>
      <c r="P48">
        <f t="shared" si="31"/>
        <v>136.56456409106724</v>
      </c>
      <c r="Q48">
        <f t="shared" si="38"/>
        <v>133.76366298723892</v>
      </c>
      <c r="R48">
        <f t="shared" si="39"/>
        <v>9.3363370127610779</v>
      </c>
      <c r="S48">
        <f t="shared" si="40"/>
        <v>6.5243445232432418</v>
      </c>
      <c r="U48">
        <v>19</v>
      </c>
      <c r="V48">
        <f t="shared" si="27"/>
        <v>143.1</v>
      </c>
      <c r="W48">
        <f t="shared" si="32"/>
        <v>139.64901199340818</v>
      </c>
      <c r="X48">
        <f t="shared" si="41"/>
        <v>136.19802398681639</v>
      </c>
      <c r="Y48">
        <f t="shared" si="42"/>
        <v>6.9019760131835994</v>
      </c>
      <c r="Z48">
        <f t="shared" si="43"/>
        <v>4.8231837967740043</v>
      </c>
      <c r="AB48" s="2">
        <v>19</v>
      </c>
      <c r="AC48" s="2">
        <f t="shared" si="28"/>
        <v>143.1</v>
      </c>
      <c r="AD48" s="2">
        <f t="shared" si="33"/>
        <v>140.48022084663717</v>
      </c>
      <c r="AE48" s="2">
        <f t="shared" si="44"/>
        <v>136.55055211659291</v>
      </c>
      <c r="AF48" s="2">
        <f t="shared" si="45"/>
        <v>6.5494478834070833</v>
      </c>
      <c r="AG48" s="2">
        <f t="shared" si="46"/>
        <v>4.5768329024507919</v>
      </c>
      <c r="AI48">
        <v>19</v>
      </c>
      <c r="AJ48">
        <f t="shared" si="29"/>
        <v>143.1</v>
      </c>
      <c r="AK48">
        <f t="shared" si="34"/>
        <v>142.38930273735622</v>
      </c>
      <c r="AL48">
        <f t="shared" si="47"/>
        <v>135.99302737356237</v>
      </c>
      <c r="AM48">
        <f t="shared" si="48"/>
        <v>7.1069726264376243</v>
      </c>
      <c r="AN48">
        <f t="shared" si="49"/>
        <v>4.9664378940863907</v>
      </c>
    </row>
    <row r="49" spans="7:40" x14ac:dyDescent="0.35">
      <c r="G49">
        <v>20</v>
      </c>
      <c r="H49">
        <f t="shared" si="25"/>
        <v>146.9</v>
      </c>
      <c r="I49">
        <f t="shared" si="30"/>
        <v>131.34679339213793</v>
      </c>
      <c r="J49">
        <f t="shared" si="35"/>
        <v>129.6186593245977</v>
      </c>
      <c r="K49">
        <f t="shared" si="36"/>
        <v>17.281340675402305</v>
      </c>
      <c r="L49">
        <f t="shared" si="37"/>
        <v>11.764016797414776</v>
      </c>
      <c r="N49">
        <v>20</v>
      </c>
      <c r="O49">
        <f t="shared" si="26"/>
        <v>146.9</v>
      </c>
      <c r="P49">
        <f t="shared" si="31"/>
        <v>139.66519486374708</v>
      </c>
      <c r="Q49">
        <f t="shared" si="38"/>
        <v>136.56456409106724</v>
      </c>
      <c r="R49">
        <f t="shared" si="39"/>
        <v>10.335435908932766</v>
      </c>
      <c r="S49">
        <f t="shared" si="40"/>
        <v>7.0356949686404118</v>
      </c>
      <c r="U49">
        <v>20</v>
      </c>
      <c r="V49">
        <f t="shared" si="27"/>
        <v>146.9</v>
      </c>
      <c r="W49">
        <f t="shared" si="32"/>
        <v>143.27450599670408</v>
      </c>
      <c r="X49">
        <f t="shared" si="41"/>
        <v>139.64901199340818</v>
      </c>
      <c r="Y49">
        <f t="shared" si="42"/>
        <v>7.2509880065918253</v>
      </c>
      <c r="Z49">
        <f t="shared" si="43"/>
        <v>4.9360027274280638</v>
      </c>
      <c r="AB49" s="2">
        <v>20</v>
      </c>
      <c r="AC49" s="2">
        <f t="shared" si="28"/>
        <v>146.9</v>
      </c>
      <c r="AD49" s="2">
        <f t="shared" si="33"/>
        <v>144.33208833865487</v>
      </c>
      <c r="AE49" s="2">
        <f t="shared" si="44"/>
        <v>140.48022084663717</v>
      </c>
      <c r="AF49" s="2">
        <f t="shared" si="45"/>
        <v>6.419779153362839</v>
      </c>
      <c r="AG49" s="2">
        <f t="shared" si="46"/>
        <v>4.37016960746279</v>
      </c>
      <c r="AI49">
        <v>20</v>
      </c>
      <c r="AJ49">
        <f t="shared" si="29"/>
        <v>146.9</v>
      </c>
      <c r="AK49">
        <f t="shared" si="34"/>
        <v>146.44893027373564</v>
      </c>
      <c r="AL49">
        <f t="shared" si="47"/>
        <v>142.38930273735622</v>
      </c>
      <c r="AM49">
        <f t="shared" si="48"/>
        <v>4.510697262643788</v>
      </c>
      <c r="AN49">
        <f t="shared" si="49"/>
        <v>3.070590376204076</v>
      </c>
    </row>
    <row r="50" spans="7:40" x14ac:dyDescent="0.35">
      <c r="G50">
        <v>21</v>
      </c>
      <c r="H50">
        <f t="shared" si="25"/>
        <v>150.69999999999999</v>
      </c>
      <c r="I50">
        <f t="shared" si="30"/>
        <v>133.28211405292413</v>
      </c>
      <c r="J50">
        <f t="shared" si="35"/>
        <v>131.34679339213793</v>
      </c>
      <c r="K50">
        <f t="shared" si="36"/>
        <v>19.353206607862063</v>
      </c>
      <c r="L50">
        <f t="shared" si="37"/>
        <v>12.842207437201106</v>
      </c>
      <c r="N50">
        <v>21</v>
      </c>
      <c r="O50">
        <f t="shared" si="26"/>
        <v>150.69999999999999</v>
      </c>
      <c r="P50">
        <f t="shared" si="31"/>
        <v>142.97563640462295</v>
      </c>
      <c r="Q50">
        <f t="shared" si="38"/>
        <v>139.66519486374708</v>
      </c>
      <c r="R50">
        <f t="shared" si="39"/>
        <v>11.034805136252913</v>
      </c>
      <c r="S50">
        <f t="shared" si="40"/>
        <v>7.3223657174870036</v>
      </c>
      <c r="U50">
        <v>21</v>
      </c>
      <c r="V50">
        <f t="shared" si="27"/>
        <v>150.69999999999999</v>
      </c>
      <c r="W50">
        <f t="shared" si="32"/>
        <v>146.98725299835203</v>
      </c>
      <c r="X50">
        <f t="shared" si="41"/>
        <v>143.27450599670408</v>
      </c>
      <c r="Y50">
        <f t="shared" si="42"/>
        <v>7.4254940032959098</v>
      </c>
      <c r="Z50">
        <f t="shared" si="43"/>
        <v>4.9273351050404184</v>
      </c>
      <c r="AB50" s="2">
        <v>21</v>
      </c>
      <c r="AC50" s="2">
        <f t="shared" si="28"/>
        <v>150.69999999999999</v>
      </c>
      <c r="AD50" s="2">
        <f t="shared" si="33"/>
        <v>148.15283533546193</v>
      </c>
      <c r="AE50" s="2">
        <f t="shared" si="44"/>
        <v>144.33208833865487</v>
      </c>
      <c r="AF50" s="2">
        <f t="shared" si="45"/>
        <v>6.3679116613451185</v>
      </c>
      <c r="AG50" s="2">
        <f t="shared" si="46"/>
        <v>4.2255551833743326</v>
      </c>
      <c r="AI50">
        <v>21</v>
      </c>
      <c r="AJ50">
        <f t="shared" si="29"/>
        <v>150.69999999999999</v>
      </c>
      <c r="AK50">
        <f t="shared" si="34"/>
        <v>150.27489302737357</v>
      </c>
      <c r="AL50">
        <f t="shared" si="47"/>
        <v>146.44893027373564</v>
      </c>
      <c r="AM50">
        <f t="shared" si="48"/>
        <v>4.2510697262643475</v>
      </c>
      <c r="AN50">
        <f t="shared" si="49"/>
        <v>2.8208823664660572</v>
      </c>
    </row>
    <row r="51" spans="7:40" x14ac:dyDescent="0.35">
      <c r="G51">
        <v>22</v>
      </c>
      <c r="H51">
        <f t="shared" si="25"/>
        <v>148.1</v>
      </c>
      <c r="I51">
        <f t="shared" si="30"/>
        <v>134.76390264763171</v>
      </c>
      <c r="J51">
        <f t="shared" si="35"/>
        <v>133.28211405292413</v>
      </c>
      <c r="K51">
        <f t="shared" si="36"/>
        <v>14.817885947075865</v>
      </c>
      <c r="L51">
        <f t="shared" si="37"/>
        <v>10.005324744818274</v>
      </c>
      <c r="N51">
        <v>22</v>
      </c>
      <c r="O51">
        <f t="shared" si="26"/>
        <v>148.1</v>
      </c>
      <c r="P51">
        <f t="shared" si="31"/>
        <v>144.51294548323605</v>
      </c>
      <c r="Q51">
        <f t="shared" si="38"/>
        <v>142.97563640462295</v>
      </c>
      <c r="R51">
        <f t="shared" si="39"/>
        <v>5.1243635953770479</v>
      </c>
      <c r="S51">
        <f t="shared" si="40"/>
        <v>3.4600699496131315</v>
      </c>
      <c r="U51">
        <v>22</v>
      </c>
      <c r="V51">
        <f t="shared" si="27"/>
        <v>148.1</v>
      </c>
      <c r="W51">
        <f t="shared" si="32"/>
        <v>147.54362649917601</v>
      </c>
      <c r="X51">
        <f t="shared" si="41"/>
        <v>146.98725299835203</v>
      </c>
      <c r="Y51">
        <f t="shared" si="42"/>
        <v>1.1127470016479606</v>
      </c>
      <c r="Z51">
        <f t="shared" si="43"/>
        <v>0.75134841434703625</v>
      </c>
      <c r="AB51" s="2">
        <v>22</v>
      </c>
      <c r="AC51" s="2">
        <f t="shared" si="28"/>
        <v>148.1</v>
      </c>
      <c r="AD51" s="2">
        <f t="shared" si="33"/>
        <v>148.12113413418479</v>
      </c>
      <c r="AE51" s="2">
        <f t="shared" si="44"/>
        <v>148.15283533546193</v>
      </c>
      <c r="AF51" s="2">
        <f t="shared" si="45"/>
        <v>-5.2835335461935529E-2</v>
      </c>
      <c r="AG51" s="2">
        <f t="shared" si="46"/>
        <v>3.5675445956742421E-2</v>
      </c>
      <c r="AI51">
        <v>22</v>
      </c>
      <c r="AJ51">
        <f t="shared" si="29"/>
        <v>148.1</v>
      </c>
      <c r="AK51">
        <f t="shared" si="34"/>
        <v>148.31748930273736</v>
      </c>
      <c r="AL51">
        <f t="shared" si="47"/>
        <v>150.27489302737357</v>
      </c>
      <c r="AM51">
        <f t="shared" si="48"/>
        <v>-2.1748930273735709</v>
      </c>
      <c r="AN51">
        <f t="shared" si="49"/>
        <v>1.4685300657485287</v>
      </c>
    </row>
    <row r="52" spans="7:40" x14ac:dyDescent="0.35">
      <c r="G52">
        <v>23</v>
      </c>
      <c r="H52">
        <f t="shared" si="25"/>
        <v>141.5</v>
      </c>
      <c r="I52">
        <f t="shared" si="30"/>
        <v>135.43751238286853</v>
      </c>
      <c r="J52">
        <f t="shared" si="35"/>
        <v>134.76390264763171</v>
      </c>
      <c r="K52">
        <f t="shared" si="36"/>
        <v>6.7360973523682901</v>
      </c>
      <c r="L52">
        <f t="shared" si="37"/>
        <v>4.760492828528827</v>
      </c>
      <c r="N52">
        <v>23</v>
      </c>
      <c r="O52">
        <f t="shared" si="26"/>
        <v>141.5</v>
      </c>
      <c r="P52">
        <f t="shared" si="31"/>
        <v>143.60906183826523</v>
      </c>
      <c r="Q52">
        <f t="shared" si="38"/>
        <v>144.51294548323605</v>
      </c>
      <c r="R52">
        <f t="shared" si="39"/>
        <v>-3.0129454832360523</v>
      </c>
      <c r="S52">
        <f t="shared" si="40"/>
        <v>2.1292900941597543</v>
      </c>
      <c r="U52">
        <v>23</v>
      </c>
      <c r="V52">
        <f t="shared" si="27"/>
        <v>141.5</v>
      </c>
      <c r="W52">
        <f t="shared" si="32"/>
        <v>144.52181324958801</v>
      </c>
      <c r="X52">
        <f t="shared" si="41"/>
        <v>147.54362649917601</v>
      </c>
      <c r="Y52">
        <f t="shared" si="42"/>
        <v>-6.043626499176014</v>
      </c>
      <c r="Z52">
        <f t="shared" si="43"/>
        <v>4.2711141336932963</v>
      </c>
      <c r="AB52" s="2">
        <v>23</v>
      </c>
      <c r="AC52" s="2">
        <f t="shared" si="28"/>
        <v>141.5</v>
      </c>
      <c r="AD52" s="2">
        <f t="shared" si="33"/>
        <v>144.14845365367393</v>
      </c>
      <c r="AE52" s="2">
        <f t="shared" si="44"/>
        <v>148.12113413418479</v>
      </c>
      <c r="AF52" s="2">
        <f t="shared" si="45"/>
        <v>-6.6211341341847856</v>
      </c>
      <c r="AG52" s="2">
        <f t="shared" si="46"/>
        <v>4.6792467379397777</v>
      </c>
      <c r="AI52">
        <v>23</v>
      </c>
      <c r="AJ52">
        <f t="shared" si="29"/>
        <v>141.5</v>
      </c>
      <c r="AK52">
        <f t="shared" si="34"/>
        <v>142.18174893027373</v>
      </c>
      <c r="AL52">
        <f t="shared" si="47"/>
        <v>148.31748930273736</v>
      </c>
      <c r="AM52">
        <f t="shared" si="48"/>
        <v>-6.8174893027373571</v>
      </c>
      <c r="AN52">
        <f t="shared" si="49"/>
        <v>4.8180136415104995</v>
      </c>
    </row>
    <row r="53" spans="7:40" x14ac:dyDescent="0.35">
      <c r="G53">
        <v>24</v>
      </c>
      <c r="H53">
        <f t="shared" si="25"/>
        <v>146.9</v>
      </c>
      <c r="I53">
        <f t="shared" si="30"/>
        <v>136.5837611445817</v>
      </c>
      <c r="J53">
        <f t="shared" si="35"/>
        <v>135.43751238286853</v>
      </c>
      <c r="K53">
        <f t="shared" si="36"/>
        <v>11.462487617131472</v>
      </c>
      <c r="L53">
        <f t="shared" si="37"/>
        <v>7.8029187318798305</v>
      </c>
      <c r="N53">
        <v>24</v>
      </c>
      <c r="O53">
        <f t="shared" si="26"/>
        <v>146.9</v>
      </c>
      <c r="P53">
        <f t="shared" si="31"/>
        <v>144.59634328678567</v>
      </c>
      <c r="Q53">
        <f t="shared" si="38"/>
        <v>143.60906183826523</v>
      </c>
      <c r="R53">
        <f t="shared" si="39"/>
        <v>3.2909381617347719</v>
      </c>
      <c r="S53">
        <f t="shared" si="40"/>
        <v>2.2402574280018865</v>
      </c>
      <c r="U53">
        <v>24</v>
      </c>
      <c r="V53">
        <f t="shared" si="27"/>
        <v>146.9</v>
      </c>
      <c r="W53">
        <f t="shared" si="32"/>
        <v>145.71090662479401</v>
      </c>
      <c r="X53">
        <f t="shared" si="41"/>
        <v>144.52181324958801</v>
      </c>
      <c r="Y53">
        <f t="shared" si="42"/>
        <v>2.3781867504119987</v>
      </c>
      <c r="Z53">
        <f t="shared" si="43"/>
        <v>1.6189154189326063</v>
      </c>
      <c r="AB53" s="2">
        <v>24</v>
      </c>
      <c r="AC53" s="2">
        <f t="shared" si="28"/>
        <v>146.9</v>
      </c>
      <c r="AD53" s="2">
        <f t="shared" si="33"/>
        <v>145.79938146146958</v>
      </c>
      <c r="AE53" s="2">
        <f t="shared" si="44"/>
        <v>144.14845365367393</v>
      </c>
      <c r="AF53" s="2">
        <f t="shared" si="45"/>
        <v>2.7515463463260801</v>
      </c>
      <c r="AG53" s="2">
        <f t="shared" si="46"/>
        <v>1.8730744358924984</v>
      </c>
      <c r="AI53">
        <v>24</v>
      </c>
      <c r="AJ53">
        <f t="shared" si="29"/>
        <v>146.9</v>
      </c>
      <c r="AK53">
        <f t="shared" si="34"/>
        <v>146.42817489302737</v>
      </c>
      <c r="AL53">
        <f t="shared" si="47"/>
        <v>142.18174893027373</v>
      </c>
      <c r="AM53">
        <f t="shared" si="48"/>
        <v>4.7182510697262785</v>
      </c>
      <c r="AN53">
        <f t="shared" si="49"/>
        <v>3.2118795573357923</v>
      </c>
    </row>
    <row r="54" spans="7:40" x14ac:dyDescent="0.35">
      <c r="G54" t="s">
        <v>3</v>
      </c>
      <c r="L54">
        <f>AVERAGE(L32:L53)</f>
        <v>6.1925678594025673</v>
      </c>
      <c r="N54" t="s">
        <v>3</v>
      </c>
      <c r="S54">
        <f>AVERAGE(S32:S53)</f>
        <v>4.0312477873865342</v>
      </c>
      <c r="U54" t="s">
        <v>3</v>
      </c>
      <c r="Z54">
        <f>AVERAGE(Z32:Z53)</f>
        <v>3.2338771384723901</v>
      </c>
      <c r="AB54" s="2" t="s">
        <v>3</v>
      </c>
      <c r="AC54" s="2"/>
      <c r="AD54" s="2"/>
      <c r="AE54" s="2"/>
      <c r="AF54" s="2"/>
      <c r="AG54" s="2">
        <f>AVERAGE(AG32:AG53)</f>
        <v>3.0704314261578172</v>
      </c>
      <c r="AI54" t="s">
        <v>3</v>
      </c>
      <c r="AN54">
        <f>AVERAGE(AN32:AN53)</f>
        <v>3.1722507484268263</v>
      </c>
    </row>
    <row r="55" spans="7:40" x14ac:dyDescent="0.35">
      <c r="G55" t="s">
        <v>14</v>
      </c>
      <c r="H55">
        <v>0.1</v>
      </c>
      <c r="N55" t="s">
        <v>14</v>
      </c>
      <c r="O55">
        <v>0.3</v>
      </c>
      <c r="U55" t="s">
        <v>14</v>
      </c>
      <c r="V55">
        <v>0.5</v>
      </c>
      <c r="AB55" s="2" t="s">
        <v>14</v>
      </c>
      <c r="AC55" s="2">
        <v>0.6</v>
      </c>
      <c r="AD55" s="2"/>
      <c r="AE55" s="2"/>
      <c r="AF55" s="2"/>
      <c r="AG55" s="2"/>
      <c r="AI55" t="s">
        <v>14</v>
      </c>
      <c r="AJ55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98A9-A517-48E8-BD58-D515BC41BE62}">
  <dimension ref="A1:AC57"/>
  <sheetViews>
    <sheetView topLeftCell="A14" zoomScale="40" zoomScaleNormal="50" workbookViewId="0">
      <selection activeCell="T25" sqref="T25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1</v>
      </c>
      <c r="I1" t="s">
        <v>16</v>
      </c>
      <c r="J1" t="s">
        <v>15</v>
      </c>
      <c r="K1" t="s">
        <v>5</v>
      </c>
      <c r="L1" t="s">
        <v>18</v>
      </c>
      <c r="M1" t="s">
        <v>17</v>
      </c>
      <c r="O1" s="3" t="s">
        <v>0</v>
      </c>
      <c r="P1" s="3" t="s">
        <v>1</v>
      </c>
      <c r="Q1" s="3" t="s">
        <v>16</v>
      </c>
      <c r="R1" s="3" t="s">
        <v>15</v>
      </c>
      <c r="S1" s="3" t="s">
        <v>5</v>
      </c>
      <c r="T1" s="3" t="s">
        <v>18</v>
      </c>
      <c r="U1" s="3" t="s">
        <v>17</v>
      </c>
      <c r="W1" t="s">
        <v>0</v>
      </c>
      <c r="X1" t="s">
        <v>1</v>
      </c>
      <c r="Y1" t="s">
        <v>16</v>
      </c>
      <c r="Z1" t="s">
        <v>15</v>
      </c>
      <c r="AA1" t="s">
        <v>5</v>
      </c>
      <c r="AB1" t="s">
        <v>18</v>
      </c>
      <c r="AC1" t="s">
        <v>17</v>
      </c>
    </row>
    <row r="2" spans="1:29" x14ac:dyDescent="0.35">
      <c r="A2">
        <v>1</v>
      </c>
      <c r="B2">
        <v>25</v>
      </c>
      <c r="D2">
        <v>1</v>
      </c>
      <c r="E2">
        <v>92.8</v>
      </c>
      <c r="G2">
        <v>1</v>
      </c>
      <c r="H2">
        <f>B2+36</f>
        <v>61</v>
      </c>
      <c r="O2" s="2">
        <v>1</v>
      </c>
      <c r="P2" s="2">
        <f>B2+36</f>
        <v>61</v>
      </c>
      <c r="Q2" s="2"/>
      <c r="R2" s="2"/>
      <c r="S2" s="2"/>
      <c r="T2" s="2"/>
      <c r="U2" s="2"/>
      <c r="W2">
        <v>1</v>
      </c>
      <c r="X2">
        <f>B2+36</f>
        <v>61</v>
      </c>
    </row>
    <row r="3" spans="1:29" x14ac:dyDescent="0.35">
      <c r="A3">
        <v>2</v>
      </c>
      <c r="B3">
        <v>0</v>
      </c>
      <c r="D3">
        <v>2</v>
      </c>
      <c r="E3">
        <v>79.2</v>
      </c>
      <c r="G3">
        <v>2</v>
      </c>
      <c r="H3">
        <f t="shared" ref="H3:H25" si="0">B3+36</f>
        <v>36</v>
      </c>
      <c r="I3">
        <f>H2</f>
        <v>61</v>
      </c>
      <c r="J3">
        <f>H3-H2</f>
        <v>-25</v>
      </c>
      <c r="K3">
        <f>I3+J3</f>
        <v>36</v>
      </c>
      <c r="L3">
        <f>H3-K3</f>
        <v>0</v>
      </c>
      <c r="M3">
        <f>(ABS(L3)/H3)*100</f>
        <v>0</v>
      </c>
      <c r="O3" s="2">
        <v>2</v>
      </c>
      <c r="P3" s="2">
        <f t="shared" ref="P3:P25" si="1">B3+36</f>
        <v>36</v>
      </c>
      <c r="Q3" s="2">
        <f>P2</f>
        <v>61</v>
      </c>
      <c r="R3" s="2">
        <f>P3-P2</f>
        <v>-25</v>
      </c>
      <c r="S3" s="2">
        <f>Q3+R3</f>
        <v>36</v>
      </c>
      <c r="T3" s="2">
        <f>P3-S3</f>
        <v>0</v>
      </c>
      <c r="U3" s="2">
        <f>(ABS(T3)/P3)*100</f>
        <v>0</v>
      </c>
      <c r="W3">
        <v>2</v>
      </c>
      <c r="X3">
        <f t="shared" ref="X3:X25" si="2">B3+36</f>
        <v>36</v>
      </c>
      <c r="Y3">
        <f>X2</f>
        <v>61</v>
      </c>
      <c r="Z3">
        <f>X3-X2</f>
        <v>-25</v>
      </c>
      <c r="AA3">
        <f>Y3+Z3</f>
        <v>36</v>
      </c>
      <c r="AB3">
        <f>X3-AA3</f>
        <v>0</v>
      </c>
      <c r="AC3">
        <f>(ABS(AB3)/X3)*100</f>
        <v>0</v>
      </c>
    </row>
    <row r="4" spans="1:29" x14ac:dyDescent="0.35">
      <c r="A4">
        <v>3</v>
      </c>
      <c r="B4">
        <v>15</v>
      </c>
      <c r="D4">
        <v>3</v>
      </c>
      <c r="E4">
        <v>84.5</v>
      </c>
      <c r="G4">
        <v>3</v>
      </c>
      <c r="H4">
        <f t="shared" si="0"/>
        <v>51</v>
      </c>
      <c r="I4">
        <f>$H$27*H4+(1-$H$27)*(I3+J3)</f>
        <v>39</v>
      </c>
      <c r="J4">
        <f t="shared" ref="J4:J25" si="3">$H$28*(I4-I3)+(1-$H$28)*J3</f>
        <v>-24.4</v>
      </c>
      <c r="K4">
        <f>I4+J4</f>
        <v>14.600000000000001</v>
      </c>
      <c r="L4">
        <f t="shared" ref="L4:L25" si="4">H4-K4</f>
        <v>36.4</v>
      </c>
      <c r="M4">
        <f t="shared" ref="M4:M25" si="5">(ABS(L4)/H4)*100</f>
        <v>71.372549019607845</v>
      </c>
      <c r="O4" s="2">
        <v>3</v>
      </c>
      <c r="P4" s="2">
        <f t="shared" si="1"/>
        <v>51</v>
      </c>
      <c r="Q4" s="2">
        <f>$P$27*P4+(1-$P$27)*(Q3+R3)</f>
        <v>46.5</v>
      </c>
      <c r="R4" s="2">
        <f>$P$28*(Q4-Q3)+(1-$P$28)*R3</f>
        <v>-17.649999999999999</v>
      </c>
      <c r="S4" s="2">
        <f>Q4+R4</f>
        <v>28.85</v>
      </c>
      <c r="T4" s="2">
        <f t="shared" ref="T4:T25" si="6">P4-S4</f>
        <v>22.15</v>
      </c>
      <c r="U4" s="2">
        <f t="shared" ref="U4:U25" si="7">(ABS(T4)/P4)*100</f>
        <v>43.431372549019606</v>
      </c>
      <c r="W4">
        <v>3</v>
      </c>
      <c r="X4">
        <f t="shared" si="2"/>
        <v>51</v>
      </c>
      <c r="Y4">
        <f>$X$27*X4+(1-$X$27)*(Y3+Z3)</f>
        <v>48</v>
      </c>
      <c r="Z4">
        <f>$X$28*(Y4-Y3)+(1-$X$28)*Z3</f>
        <v>-15.399999999999999</v>
      </c>
      <c r="AA4">
        <f>Y4+Z4</f>
        <v>32.6</v>
      </c>
      <c r="AB4">
        <f>X4-AA4</f>
        <v>18.399999999999999</v>
      </c>
      <c r="AC4">
        <f>(ABS(AB4)/X4)*100</f>
        <v>36.078431372549019</v>
      </c>
    </row>
    <row r="5" spans="1:29" x14ac:dyDescent="0.35">
      <c r="A5">
        <v>4</v>
      </c>
      <c r="B5">
        <v>10</v>
      </c>
      <c r="D5">
        <v>4</v>
      </c>
      <c r="E5">
        <v>83</v>
      </c>
      <c r="G5">
        <v>4</v>
      </c>
      <c r="H5">
        <f t="shared" si="0"/>
        <v>46</v>
      </c>
      <c r="I5">
        <f t="shared" ref="I5:I25" si="8">$H$27*H5+(1-$H$27)*(I4+J4)</f>
        <v>20.880000000000003</v>
      </c>
      <c r="J5">
        <f t="shared" si="3"/>
        <v>-23.143999999999998</v>
      </c>
      <c r="K5">
        <f t="shared" ref="K5:K25" si="9">I5+J5</f>
        <v>-2.2639999999999958</v>
      </c>
      <c r="L5">
        <f t="shared" si="4"/>
        <v>48.263999999999996</v>
      </c>
      <c r="M5">
        <f t="shared" si="5"/>
        <v>104.92173913043476</v>
      </c>
      <c r="O5" s="2">
        <v>4</v>
      </c>
      <c r="P5" s="2">
        <f t="shared" si="1"/>
        <v>46</v>
      </c>
      <c r="Q5" s="2">
        <f>$P$27*P5+(1-$P$27)*(Q4+R4)</f>
        <v>40.854999999999997</v>
      </c>
      <c r="R5" s="2">
        <f>$P$28*(Q5-Q4)+(1-$P$28)*R4</f>
        <v>-9.2465000000000011</v>
      </c>
      <c r="S5" s="2">
        <f t="shared" ref="S5:S25" si="10">Q5+R5</f>
        <v>31.608499999999996</v>
      </c>
      <c r="T5" s="2">
        <f t="shared" si="6"/>
        <v>14.391500000000004</v>
      </c>
      <c r="U5" s="2">
        <f t="shared" si="7"/>
        <v>31.2858695652174</v>
      </c>
      <c r="W5">
        <v>4</v>
      </c>
      <c r="X5">
        <f t="shared" si="2"/>
        <v>46</v>
      </c>
      <c r="Y5">
        <f t="shared" ref="Y5:Y25" si="11">$X$27*X5+(1-$X$27)*(Y4+Z4)</f>
        <v>43.32</v>
      </c>
      <c r="Z5">
        <f t="shared" ref="Z5:Z25" si="12">$X$28*(Y5-Y4)+(1-$X$28)*Z4</f>
        <v>-6.823999999999999</v>
      </c>
      <c r="AA5">
        <f t="shared" ref="AA5:AA25" si="13">Y5+Z5</f>
        <v>36.496000000000002</v>
      </c>
      <c r="AB5">
        <f t="shared" ref="AB5:AB25" si="14">X5-AA5</f>
        <v>9.5039999999999978</v>
      </c>
      <c r="AC5">
        <f>(ABS(AB5)/X5)*100</f>
        <v>20.660869565217386</v>
      </c>
    </row>
    <row r="6" spans="1:29" x14ac:dyDescent="0.35">
      <c r="A6">
        <v>5</v>
      </c>
      <c r="B6">
        <v>20</v>
      </c>
      <c r="D6">
        <v>5</v>
      </c>
      <c r="E6">
        <v>88.1</v>
      </c>
      <c r="G6">
        <v>5</v>
      </c>
      <c r="H6">
        <f t="shared" si="0"/>
        <v>56</v>
      </c>
      <c r="I6">
        <f t="shared" si="8"/>
        <v>9.3888000000000034</v>
      </c>
      <c r="J6">
        <f t="shared" si="3"/>
        <v>-20.81344</v>
      </c>
      <c r="K6">
        <f t="shared" si="9"/>
        <v>-11.424639999999997</v>
      </c>
      <c r="L6">
        <f t="shared" si="4"/>
        <v>67.424639999999997</v>
      </c>
      <c r="M6">
        <f t="shared" si="5"/>
        <v>120.40114285714284</v>
      </c>
      <c r="O6" s="2">
        <v>5</v>
      </c>
      <c r="P6" s="2">
        <f t="shared" si="1"/>
        <v>56</v>
      </c>
      <c r="Q6" s="2">
        <f t="shared" ref="Q6:Q25" si="15">$P$27*P6+(1-$P$27)*(Q5+R5)</f>
        <v>48.682549999999992</v>
      </c>
      <c r="R6" s="2">
        <f t="shared" ref="R6:R25" si="16">$P$28*(Q6-Q5)+(1-$P$28)*R5</f>
        <v>2.7053349999999958</v>
      </c>
      <c r="S6" s="2">
        <f t="shared" si="10"/>
        <v>51.38788499999999</v>
      </c>
      <c r="T6" s="2">
        <f t="shared" si="6"/>
        <v>4.61211500000001</v>
      </c>
      <c r="U6" s="2">
        <f t="shared" si="7"/>
        <v>8.2359196428571604</v>
      </c>
      <c r="W6">
        <v>5</v>
      </c>
      <c r="X6">
        <f t="shared" si="2"/>
        <v>56</v>
      </c>
      <c r="Y6">
        <f t="shared" si="11"/>
        <v>52.099200000000003</v>
      </c>
      <c r="Z6">
        <f t="shared" si="12"/>
        <v>5.6585600000000031</v>
      </c>
      <c r="AA6">
        <f t="shared" si="13"/>
        <v>57.757760000000005</v>
      </c>
      <c r="AB6">
        <f t="shared" si="14"/>
        <v>-1.7577600000000047</v>
      </c>
      <c r="AC6">
        <f t="shared" ref="AC6:AC25" si="17">(ABS(AB6)/X6)*100</f>
        <v>3.1388571428571508</v>
      </c>
    </row>
    <row r="7" spans="1:29" x14ac:dyDescent="0.35">
      <c r="A7">
        <v>6</v>
      </c>
      <c r="B7">
        <v>10</v>
      </c>
      <c r="D7">
        <v>6</v>
      </c>
      <c r="E7">
        <v>83.9</v>
      </c>
      <c r="G7">
        <v>6</v>
      </c>
      <c r="H7">
        <f t="shared" si="0"/>
        <v>46</v>
      </c>
      <c r="I7">
        <f t="shared" si="8"/>
        <v>6.028800000000345E-2</v>
      </c>
      <c r="J7">
        <f t="shared" si="3"/>
        <v>-18.516454400000001</v>
      </c>
      <c r="K7">
        <f t="shared" si="9"/>
        <v>-18.456166399999997</v>
      </c>
      <c r="L7">
        <f t="shared" si="4"/>
        <v>64.456166400000001</v>
      </c>
      <c r="M7">
        <f t="shared" si="5"/>
        <v>140.12210086956523</v>
      </c>
      <c r="O7" s="2">
        <v>6</v>
      </c>
      <c r="P7" s="2">
        <f t="shared" si="1"/>
        <v>46</v>
      </c>
      <c r="Q7" s="2">
        <f t="shared" si="15"/>
        <v>47.616365499999993</v>
      </c>
      <c r="R7" s="2">
        <f t="shared" si="16"/>
        <v>6.527134999999995E-2</v>
      </c>
      <c r="S7" s="2">
        <f t="shared" si="10"/>
        <v>47.681636849999997</v>
      </c>
      <c r="T7" s="2">
        <f t="shared" si="6"/>
        <v>-1.6816368499999967</v>
      </c>
      <c r="U7" s="2">
        <f t="shared" si="7"/>
        <v>3.6557322826086884</v>
      </c>
      <c r="W7">
        <v>6</v>
      </c>
      <c r="X7">
        <f t="shared" si="2"/>
        <v>46</v>
      </c>
      <c r="Y7">
        <f t="shared" si="11"/>
        <v>48.351552000000005</v>
      </c>
      <c r="Z7">
        <f t="shared" si="12"/>
        <v>-1.8664063999999985</v>
      </c>
      <c r="AA7">
        <f t="shared" si="13"/>
        <v>46.48514560000001</v>
      </c>
      <c r="AB7">
        <f t="shared" si="14"/>
        <v>-0.48514560000000984</v>
      </c>
      <c r="AC7">
        <f t="shared" si="17"/>
        <v>1.0546643478261084</v>
      </c>
    </row>
    <row r="8" spans="1:29" x14ac:dyDescent="0.35">
      <c r="A8">
        <v>7</v>
      </c>
      <c r="B8">
        <v>5</v>
      </c>
      <c r="D8">
        <v>7</v>
      </c>
      <c r="E8">
        <v>79.900000000000006</v>
      </c>
      <c r="G8">
        <v>7</v>
      </c>
      <c r="H8">
        <f t="shared" si="0"/>
        <v>41</v>
      </c>
      <c r="I8">
        <f t="shared" si="8"/>
        <v>-6.5649331199999974</v>
      </c>
      <c r="J8">
        <f t="shared" si="3"/>
        <v>-16.138207744000002</v>
      </c>
      <c r="K8">
        <f t="shared" si="9"/>
        <v>-22.703140863999998</v>
      </c>
      <c r="L8">
        <f t="shared" si="4"/>
        <v>63.703140863999998</v>
      </c>
      <c r="M8">
        <f t="shared" si="5"/>
        <v>155.37351430243902</v>
      </c>
      <c r="O8" s="2">
        <v>7</v>
      </c>
      <c r="P8" s="2">
        <f t="shared" si="1"/>
        <v>41</v>
      </c>
      <c r="Q8" s="2">
        <f t="shared" si="15"/>
        <v>43.004491055000003</v>
      </c>
      <c r="R8" s="2">
        <f t="shared" si="16"/>
        <v>-3.2087307064999937</v>
      </c>
      <c r="S8" s="2">
        <f t="shared" si="10"/>
        <v>39.795760348500011</v>
      </c>
      <c r="T8" s="2">
        <f t="shared" si="6"/>
        <v>1.2042396514999893</v>
      </c>
      <c r="U8" s="2">
        <f t="shared" si="7"/>
        <v>2.9371698817072911</v>
      </c>
      <c r="W8">
        <v>7</v>
      </c>
      <c r="X8">
        <f t="shared" si="2"/>
        <v>41</v>
      </c>
      <c r="Y8">
        <f t="shared" si="11"/>
        <v>42.097029120000002</v>
      </c>
      <c r="Z8">
        <f t="shared" si="12"/>
        <v>-5.3768995840000029</v>
      </c>
      <c r="AA8">
        <f t="shared" si="13"/>
        <v>36.720129536000002</v>
      </c>
      <c r="AB8">
        <f t="shared" si="14"/>
        <v>4.2798704639999983</v>
      </c>
      <c r="AC8">
        <f t="shared" si="17"/>
        <v>10.438708448780483</v>
      </c>
    </row>
    <row r="9" spans="1:29" x14ac:dyDescent="0.35">
      <c r="A9">
        <v>8</v>
      </c>
      <c r="B9">
        <v>5</v>
      </c>
      <c r="D9">
        <v>8</v>
      </c>
      <c r="E9">
        <v>81.099999999999994</v>
      </c>
      <c r="G9">
        <v>8</v>
      </c>
      <c r="H9">
        <f t="shared" si="0"/>
        <v>41</v>
      </c>
      <c r="I9">
        <f t="shared" si="8"/>
        <v>-9.9625126911999988</v>
      </c>
      <c r="J9">
        <f t="shared" si="3"/>
        <v>-13.590082109440003</v>
      </c>
      <c r="K9">
        <f t="shared" si="9"/>
        <v>-23.552594800640001</v>
      </c>
      <c r="L9">
        <f t="shared" si="4"/>
        <v>64.552594800640009</v>
      </c>
      <c r="M9">
        <f t="shared" si="5"/>
        <v>157.4453531722927</v>
      </c>
      <c r="O9" s="2">
        <v>8</v>
      </c>
      <c r="P9" s="2">
        <f t="shared" si="1"/>
        <v>41</v>
      </c>
      <c r="Q9" s="2">
        <f t="shared" si="15"/>
        <v>40.638728104550005</v>
      </c>
      <c r="R9" s="2">
        <f t="shared" si="16"/>
        <v>-2.6186532772649969</v>
      </c>
      <c r="S9" s="2">
        <f t="shared" si="10"/>
        <v>38.020074827285008</v>
      </c>
      <c r="T9" s="2">
        <f t="shared" si="6"/>
        <v>2.9799251727149922</v>
      </c>
      <c r="U9" s="2">
        <f t="shared" si="7"/>
        <v>7.2681101773536403</v>
      </c>
      <c r="W9">
        <v>8</v>
      </c>
      <c r="X9">
        <f t="shared" si="2"/>
        <v>41</v>
      </c>
      <c r="Y9">
        <f t="shared" si="11"/>
        <v>40.144025907200003</v>
      </c>
      <c r="Z9">
        <f t="shared" si="12"/>
        <v>-2.6377824870399995</v>
      </c>
      <c r="AA9">
        <f t="shared" si="13"/>
        <v>37.506243420160004</v>
      </c>
      <c r="AB9">
        <f t="shared" si="14"/>
        <v>3.4937565798399959</v>
      </c>
      <c r="AC9">
        <f t="shared" si="17"/>
        <v>8.5213575118048688</v>
      </c>
    </row>
    <row r="10" spans="1:29" x14ac:dyDescent="0.35">
      <c r="A10">
        <v>9</v>
      </c>
      <c r="B10">
        <v>15</v>
      </c>
      <c r="D10">
        <v>9</v>
      </c>
      <c r="E10">
        <v>86.4</v>
      </c>
      <c r="G10">
        <v>9</v>
      </c>
      <c r="H10">
        <f t="shared" si="0"/>
        <v>51</v>
      </c>
      <c r="I10">
        <f t="shared" si="8"/>
        <v>-8.6420758405120015</v>
      </c>
      <c r="J10">
        <f t="shared" si="3"/>
        <v>-10.607978317414403</v>
      </c>
      <c r="K10">
        <f t="shared" si="9"/>
        <v>-19.250054157926407</v>
      </c>
      <c r="L10">
        <f t="shared" si="4"/>
        <v>70.2500541579264</v>
      </c>
      <c r="M10">
        <f t="shared" si="5"/>
        <v>137.74520423122823</v>
      </c>
      <c r="O10" s="2">
        <v>9</v>
      </c>
      <c r="P10" s="2">
        <f t="shared" si="1"/>
        <v>51</v>
      </c>
      <c r="Q10" s="2">
        <f t="shared" si="15"/>
        <v>47.106022448185499</v>
      </c>
      <c r="R10" s="2">
        <f t="shared" si="16"/>
        <v>3.7415100573653461</v>
      </c>
      <c r="S10" s="2">
        <f t="shared" si="10"/>
        <v>50.847532505550845</v>
      </c>
      <c r="T10" s="2">
        <f t="shared" si="6"/>
        <v>0.15246749444915508</v>
      </c>
      <c r="U10" s="2">
        <f t="shared" si="7"/>
        <v>0.29895587146893154</v>
      </c>
      <c r="W10">
        <v>9</v>
      </c>
      <c r="X10">
        <f t="shared" si="2"/>
        <v>51</v>
      </c>
      <c r="Y10">
        <f t="shared" si="11"/>
        <v>48.301248684032004</v>
      </c>
      <c r="Z10">
        <f t="shared" si="12"/>
        <v>5.9982217240576006</v>
      </c>
      <c r="AA10">
        <f t="shared" si="13"/>
        <v>54.299470408089604</v>
      </c>
      <c r="AB10">
        <f t="shared" si="14"/>
        <v>-3.2994704080896042</v>
      </c>
      <c r="AC10">
        <f t="shared" si="17"/>
        <v>6.4695498197835377</v>
      </c>
    </row>
    <row r="11" spans="1:29" x14ac:dyDescent="0.35">
      <c r="A11">
        <v>10</v>
      </c>
      <c r="B11">
        <v>15</v>
      </c>
      <c r="D11">
        <v>10</v>
      </c>
      <c r="E11">
        <v>86.3</v>
      </c>
      <c r="G11">
        <v>10</v>
      </c>
      <c r="H11">
        <f t="shared" si="0"/>
        <v>51</v>
      </c>
      <c r="I11">
        <f t="shared" si="8"/>
        <v>-5.2000433263411256</v>
      </c>
      <c r="J11">
        <f t="shared" si="3"/>
        <v>-7.7979761510973482</v>
      </c>
      <c r="K11">
        <f t="shared" si="9"/>
        <v>-12.998019477438474</v>
      </c>
      <c r="L11">
        <f t="shared" si="4"/>
        <v>63.998019477438476</v>
      </c>
      <c r="M11">
        <f t="shared" si="5"/>
        <v>125.48631270085974</v>
      </c>
      <c r="O11" s="2">
        <v>10</v>
      </c>
      <c r="P11" s="2">
        <f t="shared" si="1"/>
        <v>51</v>
      </c>
      <c r="Q11" s="2">
        <f t="shared" si="15"/>
        <v>50.954259751665248</v>
      </c>
      <c r="R11" s="2">
        <f t="shared" si="16"/>
        <v>3.8162191296454284</v>
      </c>
      <c r="S11" s="2">
        <f t="shared" si="10"/>
        <v>54.770478881310673</v>
      </c>
      <c r="T11" s="2">
        <f t="shared" si="6"/>
        <v>-3.7704788813106731</v>
      </c>
      <c r="U11" s="2">
        <f t="shared" si="7"/>
        <v>7.3930958457072027</v>
      </c>
      <c r="W11">
        <v>10</v>
      </c>
      <c r="X11">
        <f t="shared" si="2"/>
        <v>51</v>
      </c>
      <c r="Y11">
        <f t="shared" si="11"/>
        <v>51.659894081617921</v>
      </c>
      <c r="Z11">
        <f t="shared" si="12"/>
        <v>3.886560662880254</v>
      </c>
      <c r="AA11">
        <f t="shared" si="13"/>
        <v>55.546454744498178</v>
      </c>
      <c r="AB11">
        <f t="shared" si="14"/>
        <v>-4.5464547444981775</v>
      </c>
      <c r="AC11">
        <f t="shared" si="17"/>
        <v>8.9146171460748569</v>
      </c>
    </row>
    <row r="12" spans="1:29" x14ac:dyDescent="0.35">
      <c r="A12">
        <v>11</v>
      </c>
      <c r="B12">
        <v>5</v>
      </c>
      <c r="D12">
        <v>11</v>
      </c>
      <c r="E12">
        <v>81.900000000000006</v>
      </c>
      <c r="G12">
        <v>11</v>
      </c>
      <c r="H12">
        <f t="shared" si="0"/>
        <v>41</v>
      </c>
      <c r="I12">
        <f t="shared" si="8"/>
        <v>-2.198415581950778</v>
      </c>
      <c r="J12">
        <f t="shared" si="3"/>
        <v>-5.6380553719998092</v>
      </c>
      <c r="K12">
        <f t="shared" si="9"/>
        <v>-7.8364709539505872</v>
      </c>
      <c r="L12">
        <f t="shared" si="4"/>
        <v>48.836470953950588</v>
      </c>
      <c r="M12">
        <f t="shared" si="5"/>
        <v>119.11334379012339</v>
      </c>
      <c r="O12" s="2">
        <v>11</v>
      </c>
      <c r="P12" s="2">
        <f t="shared" si="1"/>
        <v>41</v>
      </c>
      <c r="Q12" s="2">
        <f t="shared" si="15"/>
        <v>45.131143664393207</v>
      </c>
      <c r="R12" s="2">
        <f t="shared" si="16"/>
        <v>-2.9313155221967997</v>
      </c>
      <c r="S12" s="2">
        <f t="shared" si="10"/>
        <v>42.199828142196409</v>
      </c>
      <c r="T12" s="2">
        <f t="shared" si="6"/>
        <v>-1.1998281421964094</v>
      </c>
      <c r="U12" s="2">
        <f t="shared" si="7"/>
        <v>2.9264101029180716</v>
      </c>
      <c r="W12">
        <v>11</v>
      </c>
      <c r="X12">
        <f t="shared" si="2"/>
        <v>41</v>
      </c>
      <c r="Y12">
        <f t="shared" si="11"/>
        <v>43.909290948899638</v>
      </c>
      <c r="Z12">
        <f t="shared" si="12"/>
        <v>-5.4231703735985759</v>
      </c>
      <c r="AA12">
        <f t="shared" si="13"/>
        <v>38.486120575301065</v>
      </c>
      <c r="AB12">
        <f t="shared" si="14"/>
        <v>2.5138794246989349</v>
      </c>
      <c r="AC12">
        <f t="shared" si="17"/>
        <v>6.1314132309730116</v>
      </c>
    </row>
    <row r="13" spans="1:29" x14ac:dyDescent="0.35">
      <c r="A13">
        <v>12</v>
      </c>
      <c r="B13">
        <v>20</v>
      </c>
      <c r="D13">
        <v>12</v>
      </c>
      <c r="E13">
        <v>90.6</v>
      </c>
      <c r="G13">
        <v>12</v>
      </c>
      <c r="H13">
        <f t="shared" si="0"/>
        <v>56</v>
      </c>
      <c r="I13">
        <f t="shared" si="8"/>
        <v>4.9308232368395313</v>
      </c>
      <c r="J13">
        <f t="shared" si="3"/>
        <v>-3.0845965338417853</v>
      </c>
      <c r="K13">
        <f t="shared" si="9"/>
        <v>1.8462267029977459</v>
      </c>
      <c r="L13">
        <f t="shared" si="4"/>
        <v>54.153773297002253</v>
      </c>
      <c r="M13">
        <f t="shared" si="5"/>
        <v>96.703166601789732</v>
      </c>
      <c r="O13" s="2">
        <v>12</v>
      </c>
      <c r="P13" s="2">
        <f t="shared" si="1"/>
        <v>56</v>
      </c>
      <c r="Q13" s="2">
        <f t="shared" si="15"/>
        <v>51.859948442658919</v>
      </c>
      <c r="R13" s="2">
        <f t="shared" si="16"/>
        <v>3.8307686881269576</v>
      </c>
      <c r="S13" s="2">
        <f t="shared" si="10"/>
        <v>55.690717130785877</v>
      </c>
      <c r="T13" s="2">
        <f t="shared" si="6"/>
        <v>0.30928286921412251</v>
      </c>
      <c r="U13" s="2">
        <f t="shared" si="7"/>
        <v>0.55229083788236166</v>
      </c>
      <c r="W13">
        <v>12</v>
      </c>
      <c r="X13">
        <f t="shared" si="2"/>
        <v>56</v>
      </c>
      <c r="Y13">
        <f t="shared" si="11"/>
        <v>52.497224115060213</v>
      </c>
      <c r="Z13">
        <f t="shared" si="12"/>
        <v>5.7857124582087449</v>
      </c>
      <c r="AA13">
        <f t="shared" si="13"/>
        <v>58.282936573268955</v>
      </c>
      <c r="AB13">
        <f t="shared" si="14"/>
        <v>-2.2829365732689553</v>
      </c>
      <c r="AC13">
        <f t="shared" si="17"/>
        <v>4.0766724522659912</v>
      </c>
    </row>
    <row r="14" spans="1:29" x14ac:dyDescent="0.35">
      <c r="A14">
        <v>13</v>
      </c>
      <c r="B14">
        <v>15</v>
      </c>
      <c r="D14">
        <v>13</v>
      </c>
      <c r="E14">
        <v>91.4</v>
      </c>
      <c r="G14">
        <v>13</v>
      </c>
      <c r="H14">
        <f t="shared" si="0"/>
        <v>51</v>
      </c>
      <c r="I14">
        <f t="shared" si="8"/>
        <v>11.676981362398198</v>
      </c>
      <c r="J14">
        <f t="shared" si="3"/>
        <v>-1.1184456019616951</v>
      </c>
      <c r="K14">
        <f t="shared" si="9"/>
        <v>10.558535760436502</v>
      </c>
      <c r="L14">
        <f t="shared" si="4"/>
        <v>40.441464239563501</v>
      </c>
      <c r="M14">
        <f t="shared" si="5"/>
        <v>79.296988705026479</v>
      </c>
      <c r="O14" s="2">
        <v>13</v>
      </c>
      <c r="P14" s="2">
        <f t="shared" si="1"/>
        <v>51</v>
      </c>
      <c r="Q14" s="2">
        <f t="shared" si="15"/>
        <v>52.40721513923576</v>
      </c>
      <c r="R14" s="2">
        <f t="shared" si="16"/>
        <v>1.5323172940418763</v>
      </c>
      <c r="S14" s="2">
        <f t="shared" si="10"/>
        <v>53.939532433277634</v>
      </c>
      <c r="T14" s="2">
        <f t="shared" si="6"/>
        <v>-2.939532433277634</v>
      </c>
      <c r="U14" s="2">
        <f t="shared" si="7"/>
        <v>5.7637890848581055</v>
      </c>
      <c r="W14">
        <v>13</v>
      </c>
      <c r="X14">
        <f t="shared" si="2"/>
        <v>51</v>
      </c>
      <c r="Y14">
        <f t="shared" si="11"/>
        <v>52.456587314653795</v>
      </c>
      <c r="Z14">
        <f t="shared" si="12"/>
        <v>1.1246330513166145</v>
      </c>
      <c r="AA14">
        <f t="shared" si="13"/>
        <v>53.58122036597041</v>
      </c>
      <c r="AB14">
        <f t="shared" si="14"/>
        <v>-2.5812203659704096</v>
      </c>
      <c r="AC14">
        <f t="shared" si="17"/>
        <v>5.0612164038635488</v>
      </c>
    </row>
    <row r="15" spans="1:29" x14ac:dyDescent="0.35">
      <c r="A15">
        <v>14</v>
      </c>
      <c r="B15">
        <v>5</v>
      </c>
      <c r="D15">
        <v>14</v>
      </c>
      <c r="E15">
        <v>88.5</v>
      </c>
      <c r="G15">
        <v>14</v>
      </c>
      <c r="H15">
        <f t="shared" si="0"/>
        <v>41</v>
      </c>
      <c r="I15">
        <f t="shared" si="8"/>
        <v>16.646828608349203</v>
      </c>
      <c r="J15">
        <f t="shared" si="3"/>
        <v>9.9212967620844972E-2</v>
      </c>
      <c r="K15">
        <f t="shared" si="9"/>
        <v>16.746041575970047</v>
      </c>
      <c r="L15">
        <f t="shared" si="4"/>
        <v>24.253958424029953</v>
      </c>
      <c r="M15">
        <f t="shared" si="5"/>
        <v>59.155996156170623</v>
      </c>
      <c r="O15" s="2">
        <v>14</v>
      </c>
      <c r="P15" s="2">
        <f t="shared" si="1"/>
        <v>41</v>
      </c>
      <c r="Q15" s="2">
        <f t="shared" si="15"/>
        <v>44.88185972998329</v>
      </c>
      <c r="R15" s="2">
        <f t="shared" si="16"/>
        <v>-4.8080535982641655</v>
      </c>
      <c r="S15" s="2">
        <f t="shared" si="10"/>
        <v>40.073806131719124</v>
      </c>
      <c r="T15" s="2">
        <f t="shared" si="6"/>
        <v>0.92619386828087613</v>
      </c>
      <c r="U15" s="2">
        <f t="shared" si="7"/>
        <v>2.2590094348314054</v>
      </c>
      <c r="W15">
        <v>14</v>
      </c>
      <c r="X15">
        <f t="shared" si="2"/>
        <v>41</v>
      </c>
      <c r="Y15">
        <f t="shared" si="11"/>
        <v>43.516244073194088</v>
      </c>
      <c r="Z15">
        <f t="shared" si="12"/>
        <v>-6.9273479829044442</v>
      </c>
      <c r="AA15">
        <f t="shared" si="13"/>
        <v>36.588896090289644</v>
      </c>
      <c r="AB15">
        <f t="shared" si="14"/>
        <v>4.4111039097103557</v>
      </c>
      <c r="AC15">
        <f t="shared" si="17"/>
        <v>10.758790023683794</v>
      </c>
    </row>
    <row r="16" spans="1:29" x14ac:dyDescent="0.35">
      <c r="A16">
        <v>15</v>
      </c>
      <c r="B16">
        <v>10</v>
      </c>
      <c r="D16">
        <v>15</v>
      </c>
      <c r="E16">
        <v>93.5</v>
      </c>
      <c r="G16">
        <v>15</v>
      </c>
      <c r="H16">
        <f t="shared" si="0"/>
        <v>46</v>
      </c>
      <c r="I16">
        <f t="shared" si="8"/>
        <v>22.596833260776037</v>
      </c>
      <c r="J16">
        <f t="shared" si="3"/>
        <v>1.2693713045820429</v>
      </c>
      <c r="K16">
        <f t="shared" si="9"/>
        <v>23.866204565358082</v>
      </c>
      <c r="L16">
        <f t="shared" si="4"/>
        <v>22.133795434641918</v>
      </c>
      <c r="M16">
        <f t="shared" si="5"/>
        <v>48.116946597047651</v>
      </c>
      <c r="O16" s="2">
        <v>15</v>
      </c>
      <c r="P16" s="2">
        <f t="shared" si="1"/>
        <v>46</v>
      </c>
      <c r="Q16" s="2">
        <f t="shared" si="15"/>
        <v>44.222141839515736</v>
      </c>
      <c r="R16" s="2">
        <f t="shared" si="16"/>
        <v>-1.9042186028065378</v>
      </c>
      <c r="S16" s="2">
        <f t="shared" si="10"/>
        <v>42.317923236709198</v>
      </c>
      <c r="T16" s="2">
        <f t="shared" si="6"/>
        <v>3.6820767632908016</v>
      </c>
      <c r="U16" s="2">
        <f t="shared" si="7"/>
        <v>8.0045147028060892</v>
      </c>
      <c r="W16">
        <v>15</v>
      </c>
      <c r="X16">
        <f t="shared" si="2"/>
        <v>46</v>
      </c>
      <c r="Y16">
        <f t="shared" si="11"/>
        <v>44.117779218057933</v>
      </c>
      <c r="Z16">
        <f t="shared" si="12"/>
        <v>-0.90424148068981203</v>
      </c>
      <c r="AA16">
        <f t="shared" si="13"/>
        <v>43.213537737368121</v>
      </c>
      <c r="AB16">
        <f t="shared" si="14"/>
        <v>2.7864622626318791</v>
      </c>
      <c r="AC16">
        <f t="shared" si="17"/>
        <v>6.057526657895389</v>
      </c>
    </row>
    <row r="17" spans="1:29" x14ac:dyDescent="0.35">
      <c r="A17">
        <v>16</v>
      </c>
      <c r="B17">
        <v>25</v>
      </c>
      <c r="D17">
        <v>16</v>
      </c>
      <c r="E17">
        <v>105</v>
      </c>
      <c r="G17">
        <v>16</v>
      </c>
      <c r="H17">
        <f t="shared" si="0"/>
        <v>61</v>
      </c>
      <c r="I17">
        <f t="shared" si="8"/>
        <v>31.292963652286467</v>
      </c>
      <c r="J17">
        <f t="shared" si="3"/>
        <v>2.7547231219677206</v>
      </c>
      <c r="K17">
        <f t="shared" si="9"/>
        <v>34.047686774254188</v>
      </c>
      <c r="L17">
        <f t="shared" si="4"/>
        <v>26.952313225745812</v>
      </c>
      <c r="M17">
        <f t="shared" si="5"/>
        <v>44.184120042206246</v>
      </c>
      <c r="O17" s="2">
        <v>16</v>
      </c>
      <c r="P17" s="2">
        <f t="shared" si="1"/>
        <v>61</v>
      </c>
      <c r="Q17" s="2">
        <f t="shared" si="15"/>
        <v>55.395376971012759</v>
      </c>
      <c r="R17" s="2">
        <f t="shared" si="16"/>
        <v>7.2499990112059542</v>
      </c>
      <c r="S17" s="2">
        <f t="shared" si="10"/>
        <v>62.64537598221871</v>
      </c>
      <c r="T17" s="2">
        <f t="shared" si="6"/>
        <v>-1.6453759822187095</v>
      </c>
      <c r="U17" s="2">
        <f t="shared" si="7"/>
        <v>2.6973376757683765</v>
      </c>
      <c r="W17">
        <v>16</v>
      </c>
      <c r="X17">
        <f t="shared" si="2"/>
        <v>61</v>
      </c>
      <c r="Y17">
        <f t="shared" si="11"/>
        <v>57.442707547473624</v>
      </c>
      <c r="Z17">
        <f t="shared" si="12"/>
        <v>10.479094367394591</v>
      </c>
      <c r="AA17">
        <f t="shared" si="13"/>
        <v>67.921801914868212</v>
      </c>
      <c r="AB17">
        <f t="shared" si="14"/>
        <v>-6.9218019148682117</v>
      </c>
      <c r="AC17">
        <f t="shared" si="17"/>
        <v>11.347216253882314</v>
      </c>
    </row>
    <row r="18" spans="1:29" x14ac:dyDescent="0.35">
      <c r="A18">
        <v>17</v>
      </c>
      <c r="B18">
        <v>15</v>
      </c>
      <c r="D18">
        <v>17</v>
      </c>
      <c r="E18">
        <v>103.5</v>
      </c>
      <c r="G18">
        <v>17</v>
      </c>
      <c r="H18">
        <f t="shared" si="0"/>
        <v>51</v>
      </c>
      <c r="I18">
        <f t="shared" si="8"/>
        <v>37.438149419403352</v>
      </c>
      <c r="J18">
        <f t="shared" si="3"/>
        <v>3.4328156509975538</v>
      </c>
      <c r="K18">
        <f t="shared" si="9"/>
        <v>40.870965070400906</v>
      </c>
      <c r="L18">
        <f t="shared" si="4"/>
        <v>10.129034929599094</v>
      </c>
      <c r="M18">
        <f t="shared" si="5"/>
        <v>19.860852803135479</v>
      </c>
      <c r="O18" s="2">
        <v>17</v>
      </c>
      <c r="P18" s="2">
        <f t="shared" si="1"/>
        <v>51</v>
      </c>
      <c r="Q18" s="2">
        <f t="shared" si="15"/>
        <v>54.493612794665609</v>
      </c>
      <c r="R18" s="2">
        <f t="shared" si="16"/>
        <v>1.5437647799187815</v>
      </c>
      <c r="S18" s="2">
        <f t="shared" si="10"/>
        <v>56.03737757458439</v>
      </c>
      <c r="T18" s="2">
        <f t="shared" si="6"/>
        <v>-5.0373775745843901</v>
      </c>
      <c r="U18" s="2">
        <f t="shared" si="7"/>
        <v>9.8772109305576272</v>
      </c>
      <c r="W18">
        <v>17</v>
      </c>
      <c r="X18">
        <f t="shared" si="2"/>
        <v>51</v>
      </c>
      <c r="Y18">
        <f t="shared" si="11"/>
        <v>54.38436038297364</v>
      </c>
      <c r="Z18">
        <f t="shared" si="12"/>
        <v>-0.35085885812107032</v>
      </c>
      <c r="AA18">
        <f t="shared" si="13"/>
        <v>54.033501524852568</v>
      </c>
      <c r="AB18">
        <f t="shared" si="14"/>
        <v>-3.0335015248525679</v>
      </c>
      <c r="AC18">
        <f t="shared" si="17"/>
        <v>5.9480422055932705</v>
      </c>
    </row>
    <row r="19" spans="1:29" x14ac:dyDescent="0.35">
      <c r="A19">
        <v>18</v>
      </c>
      <c r="B19">
        <v>5</v>
      </c>
      <c r="D19">
        <v>18</v>
      </c>
      <c r="E19">
        <v>99.6</v>
      </c>
      <c r="G19">
        <v>18</v>
      </c>
      <c r="H19">
        <f t="shared" si="0"/>
        <v>41</v>
      </c>
      <c r="I19">
        <f t="shared" si="8"/>
        <v>40.896772056320728</v>
      </c>
      <c r="J19">
        <f t="shared" si="3"/>
        <v>3.4379770481815184</v>
      </c>
      <c r="K19">
        <f t="shared" si="9"/>
        <v>44.334749104502244</v>
      </c>
      <c r="L19">
        <f t="shared" si="4"/>
        <v>-3.3347491045022437</v>
      </c>
      <c r="M19">
        <f t="shared" si="5"/>
        <v>8.1335344012249848</v>
      </c>
      <c r="O19" s="2">
        <v>18</v>
      </c>
      <c r="P19" s="2">
        <f t="shared" si="1"/>
        <v>41</v>
      </c>
      <c r="Q19" s="2">
        <f t="shared" si="15"/>
        <v>45.511213272375315</v>
      </c>
      <c r="R19" s="2">
        <f t="shared" si="16"/>
        <v>-5.8245502316275708</v>
      </c>
      <c r="S19" s="2">
        <f t="shared" si="10"/>
        <v>39.686663040747746</v>
      </c>
      <c r="T19" s="2">
        <f t="shared" si="6"/>
        <v>1.3133369592522541</v>
      </c>
      <c r="U19" s="2">
        <f t="shared" si="7"/>
        <v>3.2032608762250101</v>
      </c>
      <c r="W19">
        <v>18</v>
      </c>
      <c r="X19">
        <f t="shared" si="2"/>
        <v>41</v>
      </c>
      <c r="Y19">
        <f t="shared" si="11"/>
        <v>43.606700304970516</v>
      </c>
      <c r="Z19">
        <f t="shared" si="12"/>
        <v>-8.6922998340267128</v>
      </c>
      <c r="AA19">
        <f t="shared" si="13"/>
        <v>34.914400470943804</v>
      </c>
      <c r="AB19">
        <f t="shared" si="14"/>
        <v>6.0855995290561964</v>
      </c>
      <c r="AC19">
        <f t="shared" si="17"/>
        <v>14.842925680624869</v>
      </c>
    </row>
    <row r="20" spans="1:29" x14ac:dyDescent="0.35">
      <c r="A20">
        <v>19</v>
      </c>
      <c r="B20">
        <v>15</v>
      </c>
      <c r="D20">
        <v>19</v>
      </c>
      <c r="E20">
        <v>107.1</v>
      </c>
      <c r="G20">
        <v>19</v>
      </c>
      <c r="H20">
        <f t="shared" si="0"/>
        <v>51</v>
      </c>
      <c r="I20">
        <f t="shared" si="8"/>
        <v>45.667799283601802</v>
      </c>
      <c r="J20">
        <f t="shared" si="3"/>
        <v>3.7045870840014299</v>
      </c>
      <c r="K20">
        <f t="shared" si="9"/>
        <v>49.372386367603234</v>
      </c>
      <c r="L20">
        <f t="shared" si="4"/>
        <v>1.6276136323967663</v>
      </c>
      <c r="M20">
        <f t="shared" si="5"/>
        <v>3.1913992792093455</v>
      </c>
      <c r="O20" s="2">
        <v>19</v>
      </c>
      <c r="P20" s="2">
        <f t="shared" si="1"/>
        <v>51</v>
      </c>
      <c r="Q20" s="2">
        <f t="shared" si="15"/>
        <v>47.605998912224322</v>
      </c>
      <c r="R20" s="2">
        <f t="shared" si="16"/>
        <v>-0.28101512159396624</v>
      </c>
      <c r="S20" s="2">
        <f t="shared" si="10"/>
        <v>47.324983790630355</v>
      </c>
      <c r="T20" s="2">
        <f t="shared" si="6"/>
        <v>3.6750162093696446</v>
      </c>
      <c r="U20" s="2">
        <f t="shared" si="7"/>
        <v>7.2059141360189107</v>
      </c>
      <c r="W20">
        <v>19</v>
      </c>
      <c r="X20">
        <f t="shared" si="2"/>
        <v>51</v>
      </c>
      <c r="Y20">
        <f t="shared" si="11"/>
        <v>47.782880094188762</v>
      </c>
      <c r="Z20">
        <f t="shared" si="12"/>
        <v>1.6024838645692547</v>
      </c>
      <c r="AA20">
        <f t="shared" si="13"/>
        <v>49.38536395875802</v>
      </c>
      <c r="AB20">
        <f t="shared" si="14"/>
        <v>1.6146360412419796</v>
      </c>
      <c r="AC20">
        <f t="shared" si="17"/>
        <v>3.1659530220430971</v>
      </c>
    </row>
    <row r="21" spans="1:29" x14ac:dyDescent="0.35">
      <c r="A21">
        <v>20</v>
      </c>
      <c r="B21">
        <v>20</v>
      </c>
      <c r="D21">
        <v>20</v>
      </c>
      <c r="E21">
        <v>110.9</v>
      </c>
      <c r="G21">
        <v>20</v>
      </c>
      <c r="H21">
        <f t="shared" si="0"/>
        <v>56</v>
      </c>
      <c r="I21">
        <f t="shared" si="8"/>
        <v>50.69790909408259</v>
      </c>
      <c r="J21">
        <f t="shared" si="3"/>
        <v>3.9696916292973015</v>
      </c>
      <c r="K21">
        <f t="shared" si="9"/>
        <v>54.667600723379891</v>
      </c>
      <c r="L21">
        <f t="shared" si="4"/>
        <v>1.3323992766201087</v>
      </c>
      <c r="M21">
        <f t="shared" si="5"/>
        <v>2.3792844225359082</v>
      </c>
      <c r="O21" s="2">
        <v>20</v>
      </c>
      <c r="P21" s="2">
        <f t="shared" si="1"/>
        <v>56</v>
      </c>
      <c r="Q21" s="2">
        <f t="shared" si="15"/>
        <v>53.397495137189104</v>
      </c>
      <c r="R21" s="2">
        <f t="shared" si="16"/>
        <v>3.969742820997157</v>
      </c>
      <c r="S21" s="2">
        <f t="shared" si="10"/>
        <v>57.367237958186259</v>
      </c>
      <c r="T21" s="2">
        <f t="shared" si="6"/>
        <v>-1.3672379581862586</v>
      </c>
      <c r="U21" s="2">
        <f t="shared" si="7"/>
        <v>2.4414963539040331</v>
      </c>
      <c r="W21">
        <v>20</v>
      </c>
      <c r="X21">
        <f t="shared" si="2"/>
        <v>56</v>
      </c>
      <c r="Y21">
        <f t="shared" si="11"/>
        <v>54.677072791751606</v>
      </c>
      <c r="Z21">
        <f t="shared" si="12"/>
        <v>5.835850930964126</v>
      </c>
      <c r="AA21">
        <f t="shared" si="13"/>
        <v>60.512923722715733</v>
      </c>
      <c r="AB21">
        <f t="shared" si="14"/>
        <v>-4.5129237227157333</v>
      </c>
      <c r="AC21">
        <f t="shared" si="17"/>
        <v>8.0587923619923814</v>
      </c>
    </row>
    <row r="22" spans="1:29" x14ac:dyDescent="0.35">
      <c r="A22">
        <v>21</v>
      </c>
      <c r="B22">
        <v>25</v>
      </c>
      <c r="D22">
        <v>21</v>
      </c>
      <c r="E22">
        <v>114.7</v>
      </c>
      <c r="G22">
        <v>21</v>
      </c>
      <c r="H22">
        <f t="shared" si="0"/>
        <v>61</v>
      </c>
      <c r="I22">
        <f t="shared" si="8"/>
        <v>55.93408057870392</v>
      </c>
      <c r="J22">
        <f t="shared" si="3"/>
        <v>4.2229876003621074</v>
      </c>
      <c r="K22">
        <f t="shared" si="9"/>
        <v>60.15706817906603</v>
      </c>
      <c r="L22">
        <f t="shared" si="4"/>
        <v>0.84293182093396979</v>
      </c>
      <c r="M22">
        <f t="shared" si="5"/>
        <v>1.3818554441540489</v>
      </c>
      <c r="O22" s="2">
        <v>21</v>
      </c>
      <c r="P22" s="2">
        <f t="shared" si="1"/>
        <v>61</v>
      </c>
      <c r="Q22" s="2">
        <f t="shared" si="15"/>
        <v>59.910171387455875</v>
      </c>
      <c r="R22" s="2">
        <f t="shared" si="16"/>
        <v>5.7497962214858873</v>
      </c>
      <c r="S22" s="2">
        <f t="shared" si="10"/>
        <v>65.65996760894177</v>
      </c>
      <c r="T22" s="2">
        <f t="shared" si="6"/>
        <v>-4.6599676089417699</v>
      </c>
      <c r="U22" s="2">
        <f t="shared" si="7"/>
        <v>7.6392911621996227</v>
      </c>
      <c r="W22">
        <v>21</v>
      </c>
      <c r="X22">
        <f t="shared" si="2"/>
        <v>61</v>
      </c>
      <c r="Y22">
        <f t="shared" si="11"/>
        <v>60.902584744543148</v>
      </c>
      <c r="Z22">
        <f t="shared" si="12"/>
        <v>6.1475797484260593</v>
      </c>
      <c r="AA22">
        <f t="shared" si="13"/>
        <v>67.050164492969202</v>
      </c>
      <c r="AB22">
        <f t="shared" si="14"/>
        <v>-6.050164492969202</v>
      </c>
      <c r="AC22">
        <f t="shared" si="17"/>
        <v>9.9183024474904951</v>
      </c>
    </row>
    <row r="23" spans="1:29" x14ac:dyDescent="0.35">
      <c r="A23">
        <v>22</v>
      </c>
      <c r="B23">
        <v>15</v>
      </c>
      <c r="D23">
        <v>22</v>
      </c>
      <c r="E23">
        <v>112.1</v>
      </c>
      <c r="G23">
        <v>22</v>
      </c>
      <c r="H23">
        <f t="shared" si="0"/>
        <v>51</v>
      </c>
      <c r="I23">
        <f t="shared" si="8"/>
        <v>58.325654543252831</v>
      </c>
      <c r="J23">
        <f t="shared" si="3"/>
        <v>3.8567048731994684</v>
      </c>
      <c r="K23">
        <f t="shared" si="9"/>
        <v>62.1823594164523</v>
      </c>
      <c r="L23">
        <f t="shared" si="4"/>
        <v>-11.1823594164523</v>
      </c>
      <c r="M23">
        <f t="shared" si="5"/>
        <v>21.926194934220199</v>
      </c>
      <c r="O23" s="2">
        <v>22</v>
      </c>
      <c r="P23" s="2">
        <f t="shared" si="1"/>
        <v>51</v>
      </c>
      <c r="Q23" s="2">
        <f t="shared" si="15"/>
        <v>55.397990282682528</v>
      </c>
      <c r="R23" s="2">
        <f t="shared" si="16"/>
        <v>-1.4335879068955766</v>
      </c>
      <c r="S23" s="2">
        <f t="shared" si="10"/>
        <v>53.964402375786953</v>
      </c>
      <c r="T23" s="2">
        <f t="shared" si="6"/>
        <v>-2.9644023757869533</v>
      </c>
      <c r="U23" s="2">
        <f t="shared" si="7"/>
        <v>5.812553678013634</v>
      </c>
      <c r="W23">
        <v>22</v>
      </c>
      <c r="X23">
        <f t="shared" si="2"/>
        <v>51</v>
      </c>
      <c r="Y23">
        <f t="shared" si="11"/>
        <v>54.210032898593838</v>
      </c>
      <c r="Z23">
        <f t="shared" si="12"/>
        <v>-4.1245255270742369</v>
      </c>
      <c r="AA23">
        <f t="shared" si="13"/>
        <v>50.085507371519597</v>
      </c>
      <c r="AB23">
        <f t="shared" si="14"/>
        <v>0.91449262848040291</v>
      </c>
      <c r="AC23">
        <f t="shared" si="17"/>
        <v>1.7931228009419664</v>
      </c>
    </row>
    <row r="24" spans="1:29" x14ac:dyDescent="0.35">
      <c r="A24">
        <v>23</v>
      </c>
      <c r="B24">
        <v>0</v>
      </c>
      <c r="D24">
        <v>23</v>
      </c>
      <c r="E24">
        <v>105.5</v>
      </c>
      <c r="G24">
        <v>23</v>
      </c>
      <c r="H24">
        <f t="shared" si="0"/>
        <v>36</v>
      </c>
      <c r="I24">
        <f t="shared" si="8"/>
        <v>56.945887533161844</v>
      </c>
      <c r="J24">
        <f t="shared" si="3"/>
        <v>2.8094104965413775</v>
      </c>
      <c r="K24">
        <f t="shared" si="9"/>
        <v>59.755298029703219</v>
      </c>
      <c r="L24">
        <f t="shared" si="4"/>
        <v>-23.755298029703219</v>
      </c>
      <c r="M24">
        <f t="shared" si="5"/>
        <v>65.986938971397834</v>
      </c>
      <c r="O24" s="2">
        <v>23</v>
      </c>
      <c r="P24" s="2">
        <f t="shared" si="1"/>
        <v>36</v>
      </c>
      <c r="Q24" s="2">
        <f t="shared" si="15"/>
        <v>41.389320712736087</v>
      </c>
      <c r="R24" s="2">
        <f t="shared" si="16"/>
        <v>-10.236145071031181</v>
      </c>
      <c r="S24" s="2">
        <f t="shared" si="10"/>
        <v>31.153175641704905</v>
      </c>
      <c r="T24" s="2">
        <f t="shared" si="6"/>
        <v>4.8468243582950947</v>
      </c>
      <c r="U24" s="2">
        <f t="shared" si="7"/>
        <v>13.463400995264152</v>
      </c>
      <c r="W24">
        <v>23</v>
      </c>
      <c r="X24">
        <f t="shared" si="2"/>
        <v>36</v>
      </c>
      <c r="Y24">
        <f t="shared" si="11"/>
        <v>38.817101474303918</v>
      </c>
      <c r="Z24">
        <f t="shared" si="12"/>
        <v>-13.139250244846783</v>
      </c>
      <c r="AA24">
        <f t="shared" si="13"/>
        <v>25.677851229457133</v>
      </c>
      <c r="AB24">
        <f t="shared" si="14"/>
        <v>10.322148770542867</v>
      </c>
      <c r="AC24">
        <f t="shared" si="17"/>
        <v>28.672635473730185</v>
      </c>
    </row>
    <row r="25" spans="1:29" x14ac:dyDescent="0.35">
      <c r="A25">
        <v>24</v>
      </c>
      <c r="B25">
        <v>5</v>
      </c>
      <c r="D25">
        <v>24</v>
      </c>
      <c r="E25">
        <v>110.9</v>
      </c>
      <c r="G25">
        <v>24</v>
      </c>
      <c r="H25">
        <f t="shared" si="0"/>
        <v>41</v>
      </c>
      <c r="I25">
        <f t="shared" si="8"/>
        <v>56.00423842376258</v>
      </c>
      <c r="J25">
        <f t="shared" si="3"/>
        <v>2.0591985753532489</v>
      </c>
      <c r="K25">
        <f t="shared" si="9"/>
        <v>58.063436999115829</v>
      </c>
      <c r="L25">
        <f t="shared" si="4"/>
        <v>-17.063436999115829</v>
      </c>
      <c r="M25">
        <f t="shared" si="5"/>
        <v>41.618139022233727</v>
      </c>
      <c r="O25" s="2">
        <v>24</v>
      </c>
      <c r="P25" s="2">
        <f t="shared" si="1"/>
        <v>41</v>
      </c>
      <c r="Q25" s="2">
        <f t="shared" si="15"/>
        <v>38.04595269251147</v>
      </c>
      <c r="R25" s="2">
        <f t="shared" si="16"/>
        <v>-5.4112011354665857</v>
      </c>
      <c r="S25" s="2">
        <f t="shared" si="10"/>
        <v>32.634751557044886</v>
      </c>
      <c r="T25" s="2">
        <f t="shared" si="6"/>
        <v>8.3652484429551137</v>
      </c>
      <c r="U25" s="2">
        <f t="shared" si="7"/>
        <v>20.403044982817349</v>
      </c>
      <c r="W25">
        <v>24</v>
      </c>
      <c r="X25">
        <f t="shared" si="2"/>
        <v>41</v>
      </c>
      <c r="Y25">
        <f t="shared" si="11"/>
        <v>37.935570245891427</v>
      </c>
      <c r="Z25">
        <f t="shared" si="12"/>
        <v>-3.3330750316993494</v>
      </c>
      <c r="AA25">
        <f t="shared" si="13"/>
        <v>34.602495214192075</v>
      </c>
      <c r="AB25">
        <f t="shared" si="14"/>
        <v>6.397504785807925</v>
      </c>
      <c r="AC25">
        <f t="shared" si="17"/>
        <v>15.603670209287623</v>
      </c>
    </row>
    <row r="26" spans="1:29" x14ac:dyDescent="0.35">
      <c r="G26" t="s">
        <v>3</v>
      </c>
      <c r="M26">
        <f>AVERAGE(M3:M25)</f>
        <v>70.605072932784608</v>
      </c>
      <c r="O26" s="2" t="s">
        <v>3</v>
      </c>
      <c r="P26" s="2"/>
      <c r="Q26" s="2"/>
      <c r="R26" s="2"/>
      <c r="S26" s="2"/>
      <c r="T26" s="2"/>
      <c r="U26" s="2">
        <f>AVERAGE(U3:U25)</f>
        <v>8.5545978595654208</v>
      </c>
      <c r="W26" t="s">
        <v>3</v>
      </c>
      <c r="AC26">
        <f>AVERAGE(AC3:AC25)</f>
        <v>9.8571015034417986</v>
      </c>
    </row>
    <row r="27" spans="1:29" x14ac:dyDescent="0.35">
      <c r="G27" t="s">
        <v>19</v>
      </c>
      <c r="H27">
        <v>0.2</v>
      </c>
      <c r="O27" s="2" t="s">
        <v>19</v>
      </c>
      <c r="P27" s="2">
        <v>0.7</v>
      </c>
      <c r="Q27" s="2"/>
      <c r="R27" s="2"/>
      <c r="S27" s="2"/>
      <c r="T27" s="2"/>
      <c r="U27" s="2"/>
      <c r="W27" t="s">
        <v>19</v>
      </c>
      <c r="X27">
        <v>0.8</v>
      </c>
    </row>
    <row r="28" spans="1:29" x14ac:dyDescent="0.35">
      <c r="G28" s="4" t="s">
        <v>20</v>
      </c>
      <c r="H28">
        <v>0.2</v>
      </c>
      <c r="O28" s="5" t="s">
        <v>20</v>
      </c>
      <c r="P28" s="2">
        <v>0.7</v>
      </c>
      <c r="Q28" s="2"/>
      <c r="R28" s="2"/>
      <c r="S28" s="2"/>
      <c r="T28" s="2"/>
      <c r="U28" s="2"/>
      <c r="W28" s="4" t="s">
        <v>20</v>
      </c>
      <c r="X28">
        <v>0.8</v>
      </c>
    </row>
    <row r="30" spans="1:29" x14ac:dyDescent="0.35">
      <c r="G30" t="s">
        <v>0</v>
      </c>
      <c r="H30" t="s">
        <v>2</v>
      </c>
      <c r="I30" t="s">
        <v>16</v>
      </c>
      <c r="J30" t="s">
        <v>15</v>
      </c>
      <c r="K30" t="s">
        <v>5</v>
      </c>
      <c r="L30" t="s">
        <v>18</v>
      </c>
      <c r="M30" t="s">
        <v>17</v>
      </c>
      <c r="O30" s="3" t="s">
        <v>0</v>
      </c>
      <c r="P30" s="3" t="s">
        <v>2</v>
      </c>
      <c r="Q30" s="3" t="s">
        <v>16</v>
      </c>
      <c r="R30" s="3" t="s">
        <v>15</v>
      </c>
      <c r="S30" s="3" t="s">
        <v>5</v>
      </c>
      <c r="T30" s="3" t="s">
        <v>18</v>
      </c>
      <c r="U30" s="3" t="s">
        <v>17</v>
      </c>
      <c r="W30" t="s">
        <v>0</v>
      </c>
      <c r="X30" t="s">
        <v>2</v>
      </c>
      <c r="Y30" t="s">
        <v>16</v>
      </c>
      <c r="Z30" t="s">
        <v>15</v>
      </c>
      <c r="AA30" t="s">
        <v>5</v>
      </c>
      <c r="AB30" t="s">
        <v>18</v>
      </c>
      <c r="AC30" t="s">
        <v>17</v>
      </c>
    </row>
    <row r="31" spans="1:29" x14ac:dyDescent="0.35">
      <c r="G31">
        <v>1</v>
      </c>
      <c r="H31">
        <f>E2+36</f>
        <v>128.80000000000001</v>
      </c>
      <c r="O31" s="2">
        <v>1</v>
      </c>
      <c r="P31" s="2">
        <f>E2+36</f>
        <v>128.80000000000001</v>
      </c>
      <c r="Q31" s="2"/>
      <c r="R31" s="2"/>
      <c r="S31" s="2"/>
      <c r="T31" s="2"/>
      <c r="U31" s="2"/>
      <c r="W31">
        <v>1</v>
      </c>
      <c r="X31">
        <f>E2+36</f>
        <v>128.80000000000001</v>
      </c>
    </row>
    <row r="32" spans="1:29" x14ac:dyDescent="0.35">
      <c r="G32">
        <v>2</v>
      </c>
      <c r="H32">
        <f t="shared" ref="H32:H54" si="18">E3+36</f>
        <v>115.2</v>
      </c>
      <c r="I32">
        <f>H31</f>
        <v>128.80000000000001</v>
      </c>
      <c r="J32">
        <f>H32-H31</f>
        <v>-13.600000000000009</v>
      </c>
      <c r="K32">
        <f>I32+J32</f>
        <v>115.2</v>
      </c>
      <c r="L32">
        <f>H32-K32</f>
        <v>0</v>
      </c>
      <c r="M32">
        <f>(ABS(L32)/H32)*100</f>
        <v>0</v>
      </c>
      <c r="O32" s="2">
        <v>2</v>
      </c>
      <c r="P32" s="2">
        <f t="shared" ref="P32:P54" si="19">E3+36</f>
        <v>115.2</v>
      </c>
      <c r="Q32" s="2">
        <f>P31</f>
        <v>128.80000000000001</v>
      </c>
      <c r="R32" s="2">
        <f>P32-P31</f>
        <v>-13.600000000000009</v>
      </c>
      <c r="S32" s="2">
        <f>Q32+R32</f>
        <v>115.2</v>
      </c>
      <c r="T32" s="2">
        <f>P32-S32</f>
        <v>0</v>
      </c>
      <c r="U32" s="2">
        <f>(ABS(T32)/P32)*100</f>
        <v>0</v>
      </c>
      <c r="W32">
        <v>2</v>
      </c>
      <c r="X32">
        <f t="shared" ref="X32:X54" si="20">E3+36</f>
        <v>115.2</v>
      </c>
      <c r="Y32">
        <f>X31</f>
        <v>128.80000000000001</v>
      </c>
      <c r="Z32">
        <f>X32-X31</f>
        <v>-13.600000000000009</v>
      </c>
      <c r="AA32">
        <f>Y32+Z32</f>
        <v>115.2</v>
      </c>
      <c r="AB32">
        <f>X32-AA32</f>
        <v>0</v>
      </c>
      <c r="AC32">
        <f>(ABS(AB32)/X32)*100</f>
        <v>0</v>
      </c>
    </row>
    <row r="33" spans="7:29" x14ac:dyDescent="0.35">
      <c r="G33">
        <v>3</v>
      </c>
      <c r="H33">
        <f t="shared" si="18"/>
        <v>120.5</v>
      </c>
      <c r="I33">
        <f>$H$56*H33+(1-$H$56)*(I32+J32)</f>
        <v>116.26000000000002</v>
      </c>
      <c r="J33">
        <f>$H$57*(I33-I32)+(1-$H$57)*J32</f>
        <v>-13.388000000000007</v>
      </c>
      <c r="K33">
        <f t="shared" ref="K33:K54" si="21">I33+J33</f>
        <v>102.87200000000001</v>
      </c>
      <c r="L33">
        <f t="shared" ref="L33:L54" si="22">H33-K33</f>
        <v>17.627999999999986</v>
      </c>
      <c r="M33">
        <f t="shared" ref="M33:M54" si="23">(ABS(L33)/H33)*100</f>
        <v>14.629045643153516</v>
      </c>
      <c r="O33" s="2">
        <v>3</v>
      </c>
      <c r="P33" s="2">
        <f t="shared" si="19"/>
        <v>120.5</v>
      </c>
      <c r="Q33" s="2">
        <f>$P$56*P33+(1-$P$56)*(Q32+R32)</f>
        <v>118.91</v>
      </c>
      <c r="R33" s="2">
        <f>$P$57*(Q33-Q32)+(1-$P$57)*R32</f>
        <v>-11.003000000000013</v>
      </c>
      <c r="S33" s="2">
        <f t="shared" ref="S33:S54" si="24">Q33+R33</f>
        <v>107.90699999999998</v>
      </c>
      <c r="T33" s="2">
        <f t="shared" ref="T33:T54" si="25">P33-S33</f>
        <v>12.593000000000018</v>
      </c>
      <c r="U33" s="2">
        <f t="shared" ref="U33:U54" si="26">(ABS(T33)/P33)*100</f>
        <v>10.450622406639019</v>
      </c>
      <c r="W33">
        <v>3</v>
      </c>
      <c r="X33">
        <f t="shared" si="20"/>
        <v>120.5</v>
      </c>
      <c r="Y33">
        <f>$X$56*X33+(1-$X$56)*(Y32+Z32)</f>
        <v>119.44</v>
      </c>
      <c r="Z33">
        <f>$X$57*(Y33-Y32)+(1-$X$57)*Z32</f>
        <v>-10.208000000000013</v>
      </c>
      <c r="AA33">
        <f>Y33+Z33</f>
        <v>109.23199999999999</v>
      </c>
      <c r="AB33">
        <f>X33-AA33</f>
        <v>11.268000000000015</v>
      </c>
      <c r="AC33">
        <f>(ABS(AB33)/X33)*100</f>
        <v>9.3510373443983532</v>
      </c>
    </row>
    <row r="34" spans="7:29" x14ac:dyDescent="0.35">
      <c r="G34">
        <v>4</v>
      </c>
      <c r="H34">
        <f t="shared" si="18"/>
        <v>119</v>
      </c>
      <c r="I34">
        <f t="shared" ref="I34:I54" si="27">$H$56*H34+(1-$H$56)*(I33+J33)</f>
        <v>106.09760000000001</v>
      </c>
      <c r="J34">
        <f t="shared" ref="J34:J54" si="28">$H$57*(I34-I33)+(1-$H$57)*J33</f>
        <v>-12.742880000000008</v>
      </c>
      <c r="K34">
        <f t="shared" si="21"/>
        <v>93.35472</v>
      </c>
      <c r="L34">
        <f t="shared" si="22"/>
        <v>25.64528</v>
      </c>
      <c r="M34">
        <f t="shared" si="23"/>
        <v>21.550655462184874</v>
      </c>
      <c r="O34" s="2">
        <v>4</v>
      </c>
      <c r="P34" s="2">
        <f t="shared" si="19"/>
        <v>119</v>
      </c>
      <c r="Q34" s="2">
        <f t="shared" ref="Q34:Q54" si="29">$P$56*P34+(1-$P$56)*(Q33+R33)</f>
        <v>115.6721</v>
      </c>
      <c r="R34" s="2">
        <f t="shared" ref="R34:R54" si="30">$P$57*(Q34-Q33)+(1-$P$57)*R33</f>
        <v>-5.5674300000000017</v>
      </c>
      <c r="S34" s="2">
        <f t="shared" si="24"/>
        <v>110.10467</v>
      </c>
      <c r="T34" s="2">
        <f t="shared" si="25"/>
        <v>8.8953300000000013</v>
      </c>
      <c r="U34" s="2">
        <f>(ABS(T34)/P34)*100</f>
        <v>7.475067226890757</v>
      </c>
      <c r="W34">
        <v>4</v>
      </c>
      <c r="X34">
        <f t="shared" si="20"/>
        <v>119</v>
      </c>
      <c r="Y34">
        <f t="shared" ref="Y34:Y54" si="31">$X$56*X34+(1-$X$56)*(Y33+Z33)</f>
        <v>117.04639999999999</v>
      </c>
      <c r="Z34">
        <f t="shared" ref="Z34:Z54" si="32">$X$57*(Y34-Y33)+(1-$X$57)*Z33</f>
        <v>-3.9564800000000071</v>
      </c>
      <c r="AA34">
        <f t="shared" ref="AA34:AA54" si="33">Y34+Z34</f>
        <v>113.08991999999998</v>
      </c>
      <c r="AB34">
        <f t="shared" ref="AB34:AB54" si="34">X34-AA34</f>
        <v>5.910080000000022</v>
      </c>
      <c r="AC34">
        <f t="shared" ref="AC34:AC54" si="35">(ABS(AB34)/X34)*100</f>
        <v>4.9664537815126231</v>
      </c>
    </row>
    <row r="35" spans="7:29" x14ac:dyDescent="0.35">
      <c r="G35">
        <v>5</v>
      </c>
      <c r="H35">
        <f t="shared" si="18"/>
        <v>124.1</v>
      </c>
      <c r="I35">
        <f t="shared" si="27"/>
        <v>99.503776000000016</v>
      </c>
      <c r="J35">
        <f t="shared" si="28"/>
        <v>-11.513068800000008</v>
      </c>
      <c r="K35">
        <f t="shared" si="21"/>
        <v>87.990707200000003</v>
      </c>
      <c r="L35">
        <f t="shared" si="22"/>
        <v>36.109292799999992</v>
      </c>
      <c r="M35">
        <f t="shared" si="23"/>
        <v>29.09693215149073</v>
      </c>
      <c r="O35" s="2">
        <v>5</v>
      </c>
      <c r="P35" s="2">
        <f t="shared" si="19"/>
        <v>124.1</v>
      </c>
      <c r="Q35" s="2">
        <f t="shared" si="29"/>
        <v>119.90140099999999</v>
      </c>
      <c r="R35" s="2">
        <f t="shared" si="30"/>
        <v>1.2902816999999938</v>
      </c>
      <c r="S35" s="2">
        <f t="shared" si="24"/>
        <v>121.19168269999999</v>
      </c>
      <c r="T35" s="2">
        <f t="shared" si="25"/>
        <v>2.9083173000000073</v>
      </c>
      <c r="U35" s="2">
        <f t="shared" si="26"/>
        <v>2.3435272360999253</v>
      </c>
      <c r="W35">
        <v>5</v>
      </c>
      <c r="X35">
        <f t="shared" si="20"/>
        <v>124.1</v>
      </c>
      <c r="Y35">
        <f t="shared" si="31"/>
        <v>121.89798399999999</v>
      </c>
      <c r="Z35">
        <f t="shared" si="32"/>
        <v>3.0899712000000008</v>
      </c>
      <c r="AA35">
        <f t="shared" si="33"/>
        <v>124.98795519999999</v>
      </c>
      <c r="AB35">
        <f t="shared" si="34"/>
        <v>-0.88795519999999328</v>
      </c>
      <c r="AC35">
        <f t="shared" si="35"/>
        <v>0.71551587429491803</v>
      </c>
    </row>
    <row r="36" spans="7:29" x14ac:dyDescent="0.35">
      <c r="G36">
        <v>6</v>
      </c>
      <c r="H36">
        <f t="shared" si="18"/>
        <v>119.9</v>
      </c>
      <c r="I36">
        <f t="shared" si="27"/>
        <v>94.372565760000015</v>
      </c>
      <c r="J36">
        <f t="shared" si="28"/>
        <v>-10.236697088000007</v>
      </c>
      <c r="K36">
        <f t="shared" si="21"/>
        <v>84.135868672000015</v>
      </c>
      <c r="L36">
        <f t="shared" si="22"/>
        <v>35.764131327999991</v>
      </c>
      <c r="M36">
        <f t="shared" si="23"/>
        <v>29.828299689741446</v>
      </c>
      <c r="O36" s="2">
        <v>6</v>
      </c>
      <c r="P36" s="2">
        <f t="shared" si="19"/>
        <v>119.9</v>
      </c>
      <c r="Q36" s="2">
        <f t="shared" si="29"/>
        <v>120.28750481</v>
      </c>
      <c r="R36" s="2">
        <f t="shared" si="30"/>
        <v>0.65735717700000418</v>
      </c>
      <c r="S36" s="2">
        <f t="shared" si="24"/>
        <v>120.94486198700001</v>
      </c>
      <c r="T36" s="2">
        <f t="shared" si="25"/>
        <v>-1.0448619870000044</v>
      </c>
      <c r="U36" s="2">
        <f t="shared" si="26"/>
        <v>0.87144452627189695</v>
      </c>
      <c r="W36">
        <v>6</v>
      </c>
      <c r="X36">
        <f t="shared" si="20"/>
        <v>119.9</v>
      </c>
      <c r="Y36">
        <f t="shared" si="31"/>
        <v>120.91759104</v>
      </c>
      <c r="Z36">
        <f t="shared" si="32"/>
        <v>-0.16632012799999119</v>
      </c>
      <c r="AA36">
        <f t="shared" si="33"/>
        <v>120.75127091200001</v>
      </c>
      <c r="AB36">
        <f t="shared" si="34"/>
        <v>-0.85127091200000393</v>
      </c>
      <c r="AC36">
        <f t="shared" si="35"/>
        <v>0.70998408006672553</v>
      </c>
    </row>
    <row r="37" spans="7:29" x14ac:dyDescent="0.35">
      <c r="G37">
        <v>7</v>
      </c>
      <c r="H37">
        <f t="shared" si="18"/>
        <v>115.9</v>
      </c>
      <c r="I37">
        <f t="shared" si="27"/>
        <v>90.488694937600016</v>
      </c>
      <c r="J37">
        <f t="shared" si="28"/>
        <v>-8.9661318348800041</v>
      </c>
      <c r="K37">
        <f t="shared" si="21"/>
        <v>81.522563102720014</v>
      </c>
      <c r="L37">
        <f t="shared" si="22"/>
        <v>34.377436897279992</v>
      </c>
      <c r="M37">
        <f t="shared" si="23"/>
        <v>29.661291542087998</v>
      </c>
      <c r="O37" s="2">
        <v>7</v>
      </c>
      <c r="P37" s="2">
        <f t="shared" si="19"/>
        <v>115.9</v>
      </c>
      <c r="Q37" s="2">
        <f t="shared" si="29"/>
        <v>117.41345859610001</v>
      </c>
      <c r="R37" s="2">
        <f t="shared" si="30"/>
        <v>-1.81462519662999</v>
      </c>
      <c r="S37" s="2">
        <f t="shared" si="24"/>
        <v>115.59883339947002</v>
      </c>
      <c r="T37" s="2">
        <f t="shared" si="25"/>
        <v>0.30116660052998157</v>
      </c>
      <c r="U37" s="2">
        <f t="shared" si="26"/>
        <v>0.25985038872302119</v>
      </c>
      <c r="W37">
        <v>7</v>
      </c>
      <c r="X37">
        <f t="shared" si="20"/>
        <v>115.9</v>
      </c>
      <c r="Y37">
        <f t="shared" si="31"/>
        <v>116.8702541824</v>
      </c>
      <c r="Z37">
        <f t="shared" si="32"/>
        <v>-3.2711335116799991</v>
      </c>
      <c r="AA37">
        <f t="shared" si="33"/>
        <v>113.59912067072</v>
      </c>
      <c r="AB37">
        <f t="shared" si="34"/>
        <v>2.3008793292800078</v>
      </c>
      <c r="AC37">
        <f t="shared" si="35"/>
        <v>1.9852280666781776</v>
      </c>
    </row>
    <row r="38" spans="7:29" x14ac:dyDescent="0.35">
      <c r="G38">
        <v>8</v>
      </c>
      <c r="H38">
        <f t="shared" si="18"/>
        <v>117.1</v>
      </c>
      <c r="I38">
        <f t="shared" si="27"/>
        <v>88.638050482176013</v>
      </c>
      <c r="J38">
        <f t="shared" si="28"/>
        <v>-7.5430343589888045</v>
      </c>
      <c r="K38">
        <f t="shared" si="21"/>
        <v>81.095016123187207</v>
      </c>
      <c r="L38">
        <f t="shared" si="22"/>
        <v>36.004983876812787</v>
      </c>
      <c r="M38">
        <f t="shared" si="23"/>
        <v>30.747210825630049</v>
      </c>
      <c r="O38" s="2">
        <v>8</v>
      </c>
      <c r="P38" s="2">
        <f t="shared" si="19"/>
        <v>117.1</v>
      </c>
      <c r="Q38" s="2">
        <f t="shared" si="29"/>
        <v>116.649650019841</v>
      </c>
      <c r="R38" s="2">
        <f t="shared" si="30"/>
        <v>-1.0790535623703037</v>
      </c>
      <c r="S38" s="2">
        <f t="shared" si="24"/>
        <v>115.5705964574707</v>
      </c>
      <c r="T38" s="2">
        <f t="shared" si="25"/>
        <v>1.5294035425292947</v>
      </c>
      <c r="U38" s="2">
        <f t="shared" si="26"/>
        <v>1.3060662190685695</v>
      </c>
      <c r="W38">
        <v>8</v>
      </c>
      <c r="X38">
        <f t="shared" si="20"/>
        <v>117.1</v>
      </c>
      <c r="Y38">
        <f t="shared" si="31"/>
        <v>116.399824134144</v>
      </c>
      <c r="Z38">
        <f t="shared" si="32"/>
        <v>-1.0305707409408043</v>
      </c>
      <c r="AA38">
        <f t="shared" si="33"/>
        <v>115.36925339320319</v>
      </c>
      <c r="AB38">
        <f t="shared" si="34"/>
        <v>1.7307466067967994</v>
      </c>
      <c r="AC38">
        <f t="shared" si="35"/>
        <v>1.4780073499545683</v>
      </c>
    </row>
    <row r="39" spans="7:29" x14ac:dyDescent="0.35">
      <c r="G39">
        <v>9</v>
      </c>
      <c r="H39">
        <f t="shared" si="18"/>
        <v>122.4</v>
      </c>
      <c r="I39">
        <f t="shared" si="27"/>
        <v>89.356012898549778</v>
      </c>
      <c r="J39">
        <f t="shared" si="28"/>
        <v>-5.8908350039162904</v>
      </c>
      <c r="K39">
        <f t="shared" si="21"/>
        <v>83.465177894633484</v>
      </c>
      <c r="L39">
        <f t="shared" si="22"/>
        <v>38.934822105366521</v>
      </c>
      <c r="M39">
        <f t="shared" si="23"/>
        <v>31.809495184122973</v>
      </c>
      <c r="O39" s="2">
        <v>9</v>
      </c>
      <c r="P39" s="2">
        <f t="shared" si="19"/>
        <v>122.4</v>
      </c>
      <c r="Q39" s="2">
        <f t="shared" si="29"/>
        <v>120.3511789372412</v>
      </c>
      <c r="R39" s="2">
        <f t="shared" si="30"/>
        <v>2.2673541734690463</v>
      </c>
      <c r="S39" s="2">
        <f t="shared" si="24"/>
        <v>122.61853311071025</v>
      </c>
      <c r="T39" s="2">
        <f t="shared" si="25"/>
        <v>-0.21853311071023995</v>
      </c>
      <c r="U39" s="2">
        <f t="shared" si="26"/>
        <v>0.178540123129281</v>
      </c>
      <c r="W39">
        <v>9</v>
      </c>
      <c r="X39">
        <f t="shared" si="20"/>
        <v>122.4</v>
      </c>
      <c r="Y39">
        <f t="shared" si="31"/>
        <v>120.99385067864065</v>
      </c>
      <c r="Z39">
        <f t="shared" si="32"/>
        <v>3.469107087409165</v>
      </c>
      <c r="AA39">
        <f t="shared" si="33"/>
        <v>124.46295776604983</v>
      </c>
      <c r="AB39">
        <f t="shared" si="34"/>
        <v>-2.06295776604982</v>
      </c>
      <c r="AC39">
        <f t="shared" si="35"/>
        <v>1.6854230114786108</v>
      </c>
    </row>
    <row r="40" spans="7:29" x14ac:dyDescent="0.35">
      <c r="G40">
        <v>10</v>
      </c>
      <c r="H40">
        <f t="shared" si="18"/>
        <v>122.3</v>
      </c>
      <c r="I40">
        <f t="shared" si="27"/>
        <v>91.232142315706795</v>
      </c>
      <c r="J40">
        <f t="shared" si="28"/>
        <v>-4.3374421197016293</v>
      </c>
      <c r="K40">
        <f t="shared" si="21"/>
        <v>86.894700196005161</v>
      </c>
      <c r="L40">
        <f t="shared" si="22"/>
        <v>35.405299803994836</v>
      </c>
      <c r="M40">
        <f t="shared" si="23"/>
        <v>28.949550125915646</v>
      </c>
      <c r="O40" s="2">
        <v>10</v>
      </c>
      <c r="P40" s="2">
        <f t="shared" si="19"/>
        <v>122.3</v>
      </c>
      <c r="Q40" s="2">
        <f t="shared" si="29"/>
        <v>122.39555993321308</v>
      </c>
      <c r="R40" s="2">
        <f t="shared" si="30"/>
        <v>2.1112729492210285</v>
      </c>
      <c r="S40" s="2">
        <f t="shared" si="24"/>
        <v>124.50683288243411</v>
      </c>
      <c r="T40" s="2">
        <f t="shared" si="25"/>
        <v>-2.2068328824341137</v>
      </c>
      <c r="U40" s="2">
        <f t="shared" si="26"/>
        <v>1.8044422587359883</v>
      </c>
      <c r="W40">
        <v>10</v>
      </c>
      <c r="X40">
        <f t="shared" si="20"/>
        <v>122.3</v>
      </c>
      <c r="Y40">
        <f t="shared" si="31"/>
        <v>122.73259155320997</v>
      </c>
      <c r="Z40">
        <f t="shared" si="32"/>
        <v>2.0848141171372863</v>
      </c>
      <c r="AA40">
        <f t="shared" si="33"/>
        <v>124.81740567034726</v>
      </c>
      <c r="AB40">
        <f t="shared" si="34"/>
        <v>-2.5174056703472587</v>
      </c>
      <c r="AC40">
        <f t="shared" si="35"/>
        <v>2.0583856666780531</v>
      </c>
    </row>
    <row r="41" spans="7:29" x14ac:dyDescent="0.35">
      <c r="G41">
        <v>11</v>
      </c>
      <c r="H41">
        <f t="shared" si="18"/>
        <v>117.9</v>
      </c>
      <c r="I41">
        <f t="shared" si="27"/>
        <v>93.095760156804133</v>
      </c>
      <c r="J41">
        <f t="shared" si="28"/>
        <v>-3.0972301275418359</v>
      </c>
      <c r="K41">
        <f t="shared" si="21"/>
        <v>89.998530029262298</v>
      </c>
      <c r="L41">
        <f t="shared" si="22"/>
        <v>27.901469970737708</v>
      </c>
      <c r="M41">
        <f t="shared" si="23"/>
        <v>23.665368931923414</v>
      </c>
      <c r="O41" s="2">
        <v>11</v>
      </c>
      <c r="P41" s="2">
        <f t="shared" si="19"/>
        <v>117.9</v>
      </c>
      <c r="Q41" s="2">
        <f t="shared" si="29"/>
        <v>119.88204986473025</v>
      </c>
      <c r="R41" s="2">
        <f t="shared" si="30"/>
        <v>-1.1260751631716723</v>
      </c>
      <c r="S41" s="2">
        <f t="shared" si="24"/>
        <v>118.75597470155857</v>
      </c>
      <c r="T41" s="2">
        <f t="shared" si="25"/>
        <v>-0.8559747015585657</v>
      </c>
      <c r="U41" s="2">
        <f t="shared" si="26"/>
        <v>0.72601755857384709</v>
      </c>
      <c r="W41">
        <v>11</v>
      </c>
      <c r="X41">
        <f t="shared" si="20"/>
        <v>117.9</v>
      </c>
      <c r="Y41">
        <f t="shared" si="31"/>
        <v>119.28348113406946</v>
      </c>
      <c r="Z41">
        <f t="shared" si="32"/>
        <v>-2.3423255118849511</v>
      </c>
      <c r="AA41">
        <f t="shared" si="33"/>
        <v>116.94115562218451</v>
      </c>
      <c r="AB41">
        <f t="shared" si="34"/>
        <v>0.95884437781549536</v>
      </c>
      <c r="AC41">
        <f t="shared" si="35"/>
        <v>0.81326919237955497</v>
      </c>
    </row>
    <row r="42" spans="7:29" x14ac:dyDescent="0.35">
      <c r="G42">
        <v>12</v>
      </c>
      <c r="H42">
        <f t="shared" si="18"/>
        <v>126.6</v>
      </c>
      <c r="I42">
        <f t="shared" si="27"/>
        <v>97.318824023409832</v>
      </c>
      <c r="J42">
        <f t="shared" si="28"/>
        <v>-1.6331713287123293</v>
      </c>
      <c r="K42">
        <f t="shared" si="21"/>
        <v>95.685652694697495</v>
      </c>
      <c r="L42">
        <f t="shared" si="22"/>
        <v>30.914347305302499</v>
      </c>
      <c r="M42">
        <f t="shared" si="23"/>
        <v>24.418915722987759</v>
      </c>
      <c r="O42" s="2">
        <v>12</v>
      </c>
      <c r="P42" s="2">
        <f t="shared" si="19"/>
        <v>126.6</v>
      </c>
      <c r="Q42" s="2">
        <f t="shared" si="29"/>
        <v>124.24679241046758</v>
      </c>
      <c r="R42" s="2">
        <f t="shared" si="30"/>
        <v>2.7174972330646283</v>
      </c>
      <c r="S42" s="2">
        <f t="shared" si="24"/>
        <v>126.96428964353221</v>
      </c>
      <c r="T42" s="2">
        <f t="shared" si="25"/>
        <v>-0.36428964353221716</v>
      </c>
      <c r="U42" s="2">
        <f t="shared" si="26"/>
        <v>0.2877485335957482</v>
      </c>
      <c r="W42">
        <v>12</v>
      </c>
      <c r="X42">
        <f t="shared" si="20"/>
        <v>126.6</v>
      </c>
      <c r="Y42">
        <f t="shared" si="31"/>
        <v>124.6682311244369</v>
      </c>
      <c r="Z42">
        <f t="shared" si="32"/>
        <v>3.839334889916961</v>
      </c>
      <c r="AA42">
        <f t="shared" si="33"/>
        <v>128.50756601435387</v>
      </c>
      <c r="AB42">
        <f t="shared" si="34"/>
        <v>-1.9075660143538755</v>
      </c>
      <c r="AC42">
        <f t="shared" si="35"/>
        <v>1.5067662040709917</v>
      </c>
    </row>
    <row r="43" spans="7:29" x14ac:dyDescent="0.35">
      <c r="G43">
        <v>13</v>
      </c>
      <c r="H43">
        <f t="shared" si="18"/>
        <v>127.4</v>
      </c>
      <c r="I43">
        <f t="shared" si="27"/>
        <v>102.028522155758</v>
      </c>
      <c r="J43">
        <f t="shared" si="28"/>
        <v>-0.36459743650023047</v>
      </c>
      <c r="K43">
        <f t="shared" si="21"/>
        <v>101.66392471925776</v>
      </c>
      <c r="L43">
        <f t="shared" si="22"/>
        <v>25.736075280742241</v>
      </c>
      <c r="M43">
        <f t="shared" si="23"/>
        <v>20.201001005292181</v>
      </c>
      <c r="O43" s="2">
        <v>13</v>
      </c>
      <c r="P43" s="2">
        <f t="shared" si="19"/>
        <v>127.4</v>
      </c>
      <c r="Q43" s="2">
        <f t="shared" si="29"/>
        <v>127.26928689305967</v>
      </c>
      <c r="R43" s="2">
        <f t="shared" si="30"/>
        <v>2.9309953077338542</v>
      </c>
      <c r="S43" s="2">
        <f t="shared" si="24"/>
        <v>130.20028220079354</v>
      </c>
      <c r="T43" s="2">
        <f t="shared" si="25"/>
        <v>-2.8002822007935322</v>
      </c>
      <c r="U43" s="2">
        <f t="shared" si="26"/>
        <v>2.1980237054894287</v>
      </c>
      <c r="W43">
        <v>13</v>
      </c>
      <c r="X43">
        <f t="shared" si="20"/>
        <v>127.4</v>
      </c>
      <c r="Y43">
        <f t="shared" si="31"/>
        <v>127.62151320287079</v>
      </c>
      <c r="Z43">
        <f t="shared" si="32"/>
        <v>3.1304926407305018</v>
      </c>
      <c r="AA43">
        <f t="shared" si="33"/>
        <v>130.7520058436013</v>
      </c>
      <c r="AB43">
        <f t="shared" si="34"/>
        <v>-3.3520058436012903</v>
      </c>
      <c r="AC43">
        <f t="shared" si="35"/>
        <v>2.6310877893259734</v>
      </c>
    </row>
    <row r="44" spans="7:29" x14ac:dyDescent="0.35">
      <c r="G44">
        <v>14</v>
      </c>
      <c r="H44">
        <f t="shared" si="18"/>
        <v>124.5</v>
      </c>
      <c r="I44">
        <f t="shared" si="27"/>
        <v>106.23113977540622</v>
      </c>
      <c r="J44">
        <f t="shared" si="28"/>
        <v>0.54884557472946027</v>
      </c>
      <c r="K44">
        <f t="shared" si="21"/>
        <v>106.77998535013568</v>
      </c>
      <c r="L44">
        <f t="shared" si="22"/>
        <v>17.720014649864325</v>
      </c>
      <c r="M44">
        <f t="shared" si="23"/>
        <v>14.232943493866928</v>
      </c>
      <c r="O44" s="2">
        <v>14</v>
      </c>
      <c r="P44" s="2">
        <f t="shared" si="19"/>
        <v>124.5</v>
      </c>
      <c r="Q44" s="2">
        <f t="shared" si="29"/>
        <v>126.21008466023807</v>
      </c>
      <c r="R44" s="2">
        <f t="shared" si="30"/>
        <v>0.13785702934503319</v>
      </c>
      <c r="S44" s="2">
        <f t="shared" si="24"/>
        <v>126.3479416895831</v>
      </c>
      <c r="T44" s="2">
        <f t="shared" si="25"/>
        <v>-1.8479416895830951</v>
      </c>
      <c r="U44" s="2">
        <f t="shared" si="26"/>
        <v>1.4842905137213616</v>
      </c>
      <c r="W44">
        <v>14</v>
      </c>
      <c r="X44">
        <f t="shared" si="20"/>
        <v>124.5</v>
      </c>
      <c r="Y44">
        <f t="shared" si="31"/>
        <v>125.75040116872026</v>
      </c>
      <c r="Z44">
        <f t="shared" si="32"/>
        <v>-0.87079109917432218</v>
      </c>
      <c r="AA44">
        <f t="shared" si="33"/>
        <v>124.87961006954593</v>
      </c>
      <c r="AB44">
        <f t="shared" si="34"/>
        <v>-0.37961006954593302</v>
      </c>
      <c r="AC44">
        <f t="shared" si="35"/>
        <v>0.3049076863822755</v>
      </c>
    </row>
    <row r="45" spans="7:29" x14ac:dyDescent="0.35">
      <c r="G45">
        <v>15</v>
      </c>
      <c r="H45">
        <f t="shared" si="18"/>
        <v>129.5</v>
      </c>
      <c r="I45">
        <f t="shared" si="27"/>
        <v>111.32398828010855</v>
      </c>
      <c r="J45">
        <f t="shared" si="28"/>
        <v>1.4576461607240345</v>
      </c>
      <c r="K45">
        <f t="shared" si="21"/>
        <v>112.78163444083259</v>
      </c>
      <c r="L45">
        <f t="shared" si="22"/>
        <v>16.71836555916741</v>
      </c>
      <c r="M45">
        <f t="shared" si="23"/>
        <v>12.909934794723869</v>
      </c>
      <c r="O45" s="2">
        <v>15</v>
      </c>
      <c r="P45" s="2">
        <f t="shared" si="19"/>
        <v>129.5</v>
      </c>
      <c r="Q45" s="2">
        <f t="shared" si="29"/>
        <v>128.55438250687493</v>
      </c>
      <c r="R45" s="2">
        <f t="shared" si="30"/>
        <v>1.682365601449314</v>
      </c>
      <c r="S45" s="2">
        <f t="shared" si="24"/>
        <v>130.23674810832424</v>
      </c>
      <c r="T45" s="2">
        <f t="shared" si="25"/>
        <v>-0.73674810832423532</v>
      </c>
      <c r="U45" s="2">
        <f t="shared" si="26"/>
        <v>0.56891745816543271</v>
      </c>
      <c r="W45">
        <v>15</v>
      </c>
      <c r="X45">
        <f t="shared" si="20"/>
        <v>129.5</v>
      </c>
      <c r="Y45">
        <f t="shared" si="31"/>
        <v>128.57592201390918</v>
      </c>
      <c r="Z45">
        <f t="shared" si="32"/>
        <v>2.0862584563162709</v>
      </c>
      <c r="AA45">
        <f t="shared" si="33"/>
        <v>130.66218047022545</v>
      </c>
      <c r="AB45">
        <f t="shared" si="34"/>
        <v>-1.1621804702254508</v>
      </c>
      <c r="AC45">
        <f t="shared" si="35"/>
        <v>0.89743665654474969</v>
      </c>
    </row>
    <row r="46" spans="7:29" x14ac:dyDescent="0.35">
      <c r="G46">
        <v>16</v>
      </c>
      <c r="H46">
        <f t="shared" si="18"/>
        <v>141</v>
      </c>
      <c r="I46">
        <f t="shared" si="27"/>
        <v>118.42530755266608</v>
      </c>
      <c r="J46">
        <f t="shared" si="28"/>
        <v>2.5863807830907342</v>
      </c>
      <c r="K46">
        <f t="shared" si="21"/>
        <v>121.01168833575682</v>
      </c>
      <c r="L46">
        <f t="shared" si="22"/>
        <v>19.988311664243184</v>
      </c>
      <c r="M46">
        <f t="shared" si="23"/>
        <v>14.176107563293039</v>
      </c>
      <c r="O46" s="2">
        <v>16</v>
      </c>
      <c r="P46" s="2">
        <f t="shared" si="19"/>
        <v>141</v>
      </c>
      <c r="Q46" s="2">
        <f t="shared" si="29"/>
        <v>137.77102443249726</v>
      </c>
      <c r="R46" s="2">
        <f t="shared" si="30"/>
        <v>6.9563590283704224</v>
      </c>
      <c r="S46" s="2">
        <f t="shared" si="24"/>
        <v>144.72738346086769</v>
      </c>
      <c r="T46" s="2">
        <f t="shared" si="25"/>
        <v>-3.727383460867685</v>
      </c>
      <c r="U46" s="2">
        <f t="shared" si="26"/>
        <v>2.6435343694097058</v>
      </c>
      <c r="W46">
        <v>16</v>
      </c>
      <c r="X46">
        <f t="shared" si="20"/>
        <v>141</v>
      </c>
      <c r="Y46">
        <f t="shared" si="31"/>
        <v>138.9324360940451</v>
      </c>
      <c r="Z46">
        <f t="shared" si="32"/>
        <v>8.7024629553719937</v>
      </c>
      <c r="AA46">
        <f t="shared" si="33"/>
        <v>147.6348990494171</v>
      </c>
      <c r="AB46">
        <f t="shared" si="34"/>
        <v>-6.6348990494171005</v>
      </c>
      <c r="AC46">
        <f t="shared" si="35"/>
        <v>4.7056021627071631</v>
      </c>
    </row>
    <row r="47" spans="7:29" x14ac:dyDescent="0.35">
      <c r="G47">
        <v>17</v>
      </c>
      <c r="H47">
        <f t="shared" si="18"/>
        <v>139.5</v>
      </c>
      <c r="I47">
        <f t="shared" si="27"/>
        <v>124.70935066860547</v>
      </c>
      <c r="J47">
        <f t="shared" si="28"/>
        <v>3.3259132496604642</v>
      </c>
      <c r="K47">
        <f t="shared" si="21"/>
        <v>128.03526391826594</v>
      </c>
      <c r="L47">
        <f t="shared" si="22"/>
        <v>11.46473608173406</v>
      </c>
      <c r="M47">
        <f t="shared" si="23"/>
        <v>8.2184488041104373</v>
      </c>
      <c r="O47" s="2">
        <v>17</v>
      </c>
      <c r="P47" s="2">
        <f t="shared" si="19"/>
        <v>139.5</v>
      </c>
      <c r="Q47" s="2">
        <f t="shared" si="29"/>
        <v>141.06821503826029</v>
      </c>
      <c r="R47" s="2">
        <f t="shared" si="30"/>
        <v>4.3949411325452514</v>
      </c>
      <c r="S47" s="2">
        <f t="shared" si="24"/>
        <v>145.46315617080555</v>
      </c>
      <c r="T47" s="2">
        <f t="shared" si="25"/>
        <v>-5.9631561708055472</v>
      </c>
      <c r="U47" s="2">
        <f t="shared" si="26"/>
        <v>4.2746639217244065</v>
      </c>
      <c r="W47">
        <v>17</v>
      </c>
      <c r="X47">
        <f t="shared" si="20"/>
        <v>139.5</v>
      </c>
      <c r="Y47">
        <f t="shared" si="31"/>
        <v>141.12697980988344</v>
      </c>
      <c r="Z47">
        <f t="shared" si="32"/>
        <v>3.4961275637450671</v>
      </c>
      <c r="AA47">
        <f t="shared" si="33"/>
        <v>144.6231073736285</v>
      </c>
      <c r="AB47">
        <f t="shared" si="34"/>
        <v>-5.1231073736284998</v>
      </c>
      <c r="AC47">
        <f t="shared" si="35"/>
        <v>3.6724784040347664</v>
      </c>
    </row>
    <row r="48" spans="7:29" x14ac:dyDescent="0.35">
      <c r="G48">
        <v>18</v>
      </c>
      <c r="H48">
        <f t="shared" si="18"/>
        <v>135.6</v>
      </c>
      <c r="I48">
        <f t="shared" si="27"/>
        <v>129.54821113461276</v>
      </c>
      <c r="J48">
        <f t="shared" si="28"/>
        <v>3.6285026929298296</v>
      </c>
      <c r="K48">
        <f t="shared" si="21"/>
        <v>133.17671382754259</v>
      </c>
      <c r="L48">
        <f t="shared" si="22"/>
        <v>2.4232861724574093</v>
      </c>
      <c r="M48">
        <f t="shared" si="23"/>
        <v>1.7870841979774406</v>
      </c>
      <c r="O48" s="2">
        <v>18</v>
      </c>
      <c r="P48" s="2">
        <f t="shared" si="19"/>
        <v>135.6</v>
      </c>
      <c r="Q48" s="2">
        <f t="shared" si="29"/>
        <v>138.55894685124167</v>
      </c>
      <c r="R48" s="2">
        <f t="shared" si="30"/>
        <v>-0.43800539114945813</v>
      </c>
      <c r="S48" s="2">
        <f t="shared" si="24"/>
        <v>138.12094146009221</v>
      </c>
      <c r="T48" s="2">
        <f t="shared" si="25"/>
        <v>-2.5209414600922173</v>
      </c>
      <c r="U48" s="2">
        <f t="shared" si="26"/>
        <v>1.8591013717494227</v>
      </c>
      <c r="W48">
        <v>18</v>
      </c>
      <c r="X48">
        <f t="shared" si="20"/>
        <v>135.6</v>
      </c>
      <c r="Y48">
        <f t="shared" si="31"/>
        <v>137.4046214747257</v>
      </c>
      <c r="Z48">
        <f t="shared" si="32"/>
        <v>-2.2786611553771756</v>
      </c>
      <c r="AA48">
        <f t="shared" si="33"/>
        <v>135.12596031934854</v>
      </c>
      <c r="AB48">
        <f t="shared" si="34"/>
        <v>0.47403968065145818</v>
      </c>
      <c r="AC48">
        <f t="shared" si="35"/>
        <v>0.34958678514119335</v>
      </c>
    </row>
    <row r="49" spans="7:29" x14ac:dyDescent="0.35">
      <c r="G49">
        <v>19</v>
      </c>
      <c r="H49">
        <f t="shared" si="18"/>
        <v>143.1</v>
      </c>
      <c r="I49">
        <f t="shared" si="27"/>
        <v>135.16137106203408</v>
      </c>
      <c r="J49">
        <f t="shared" si="28"/>
        <v>4.0254341398281284</v>
      </c>
      <c r="K49">
        <f t="shared" si="21"/>
        <v>139.1868052018622</v>
      </c>
      <c r="L49">
        <f t="shared" si="22"/>
        <v>3.9131947981377948</v>
      </c>
      <c r="M49">
        <f t="shared" si="23"/>
        <v>2.7345875598447202</v>
      </c>
      <c r="O49" s="2">
        <v>19</v>
      </c>
      <c r="P49" s="2">
        <f t="shared" si="19"/>
        <v>143.1</v>
      </c>
      <c r="Q49" s="2">
        <f t="shared" si="29"/>
        <v>141.60628243802765</v>
      </c>
      <c r="R49" s="2">
        <f t="shared" si="30"/>
        <v>2.001733293405346</v>
      </c>
      <c r="S49" s="2">
        <f t="shared" si="24"/>
        <v>143.608015731433</v>
      </c>
      <c r="T49" s="2">
        <f t="shared" si="25"/>
        <v>-0.50801573143300516</v>
      </c>
      <c r="U49" s="2">
        <f t="shared" si="26"/>
        <v>0.35500749925437119</v>
      </c>
      <c r="W49">
        <v>19</v>
      </c>
      <c r="X49">
        <f t="shared" si="20"/>
        <v>143.1</v>
      </c>
      <c r="Y49">
        <f t="shared" si="31"/>
        <v>141.50519206386971</v>
      </c>
      <c r="Z49">
        <f t="shared" si="32"/>
        <v>2.8247242402397754</v>
      </c>
      <c r="AA49">
        <f t="shared" si="33"/>
        <v>144.3299163041095</v>
      </c>
      <c r="AB49">
        <f t="shared" si="34"/>
        <v>-1.2299163041095085</v>
      </c>
      <c r="AC49">
        <f t="shared" si="35"/>
        <v>0.85948029637282208</v>
      </c>
    </row>
    <row r="50" spans="7:29" x14ac:dyDescent="0.35">
      <c r="G50">
        <v>20</v>
      </c>
      <c r="H50">
        <f t="shared" si="18"/>
        <v>146.9</v>
      </c>
      <c r="I50">
        <f t="shared" si="27"/>
        <v>140.72944416148977</v>
      </c>
      <c r="J50">
        <f t="shared" si="28"/>
        <v>4.33396193175364</v>
      </c>
      <c r="K50">
        <f t="shared" si="21"/>
        <v>145.0634060932434</v>
      </c>
      <c r="L50">
        <f t="shared" si="22"/>
        <v>1.8365939067566046</v>
      </c>
      <c r="M50">
        <f t="shared" si="23"/>
        <v>1.2502341094326785</v>
      </c>
      <c r="O50" s="2">
        <v>20</v>
      </c>
      <c r="P50" s="2">
        <f t="shared" si="19"/>
        <v>146.9</v>
      </c>
      <c r="Q50" s="2">
        <f t="shared" si="29"/>
        <v>145.9124047194299</v>
      </c>
      <c r="R50" s="2">
        <f t="shared" si="30"/>
        <v>3.6148055850031806</v>
      </c>
      <c r="S50" s="2">
        <f t="shared" si="24"/>
        <v>149.52721030443308</v>
      </c>
      <c r="T50" s="2">
        <f t="shared" si="25"/>
        <v>-2.6272103044330777</v>
      </c>
      <c r="U50" s="2">
        <f t="shared" si="26"/>
        <v>1.7884345162920881</v>
      </c>
      <c r="W50">
        <v>20</v>
      </c>
      <c r="X50">
        <f t="shared" si="20"/>
        <v>146.9</v>
      </c>
      <c r="Y50">
        <f t="shared" si="31"/>
        <v>146.38598326082192</v>
      </c>
      <c r="Z50">
        <f t="shared" si="32"/>
        <v>4.4695778056097168</v>
      </c>
      <c r="AA50">
        <f t="shared" si="33"/>
        <v>150.85556106643162</v>
      </c>
      <c r="AB50">
        <f t="shared" si="34"/>
        <v>-3.9555610664316134</v>
      </c>
      <c r="AC50">
        <f t="shared" si="35"/>
        <v>2.6926896299738687</v>
      </c>
    </row>
    <row r="51" spans="7:29" x14ac:dyDescent="0.35">
      <c r="G51">
        <v>21</v>
      </c>
      <c r="H51">
        <f t="shared" si="18"/>
        <v>150.69999999999999</v>
      </c>
      <c r="I51">
        <f t="shared" si="27"/>
        <v>146.19072487459471</v>
      </c>
      <c r="J51">
        <f t="shared" si="28"/>
        <v>4.5594256880239001</v>
      </c>
      <c r="K51">
        <f t="shared" si="21"/>
        <v>150.75015056261861</v>
      </c>
      <c r="L51">
        <f t="shared" si="22"/>
        <v>-5.0150562618625827E-2</v>
      </c>
      <c r="M51">
        <f t="shared" si="23"/>
        <v>3.3278409169625635E-2</v>
      </c>
      <c r="O51" s="2">
        <v>21</v>
      </c>
      <c r="P51" s="2">
        <f t="shared" si="19"/>
        <v>150.69999999999999</v>
      </c>
      <c r="Q51" s="2">
        <f t="shared" si="29"/>
        <v>150.34816309132992</v>
      </c>
      <c r="R51" s="2">
        <f t="shared" si="30"/>
        <v>4.1894725358309692</v>
      </c>
      <c r="S51" s="2">
        <f t="shared" si="24"/>
        <v>154.53763562716088</v>
      </c>
      <c r="T51" s="2">
        <f t="shared" si="25"/>
        <v>-3.8376356271608927</v>
      </c>
      <c r="U51" s="2">
        <f t="shared" si="26"/>
        <v>2.5465398985805527</v>
      </c>
      <c r="W51">
        <v>21</v>
      </c>
      <c r="X51">
        <f t="shared" si="20"/>
        <v>150.69999999999999</v>
      </c>
      <c r="Y51">
        <f t="shared" si="31"/>
        <v>150.73111221328631</v>
      </c>
      <c r="Z51">
        <f t="shared" si="32"/>
        <v>4.3700187230934571</v>
      </c>
      <c r="AA51">
        <f t="shared" si="33"/>
        <v>155.10113093637977</v>
      </c>
      <c r="AB51">
        <f t="shared" si="34"/>
        <v>-4.4011309363797864</v>
      </c>
      <c r="AC51">
        <f t="shared" si="35"/>
        <v>2.9204584846581199</v>
      </c>
    </row>
    <row r="52" spans="7:29" x14ac:dyDescent="0.35">
      <c r="G52">
        <v>22</v>
      </c>
      <c r="H52">
        <f t="shared" si="18"/>
        <v>148.1</v>
      </c>
      <c r="I52">
        <f t="shared" si="27"/>
        <v>150.2201204500949</v>
      </c>
      <c r="J52">
        <f t="shared" si="28"/>
        <v>4.4534196655191582</v>
      </c>
      <c r="K52">
        <f t="shared" si="21"/>
        <v>154.67354011561406</v>
      </c>
      <c r="L52">
        <f t="shared" si="22"/>
        <v>-6.5735401156140654</v>
      </c>
      <c r="M52">
        <f t="shared" si="23"/>
        <v>4.4385821172275932</v>
      </c>
      <c r="O52" s="2">
        <v>22</v>
      </c>
      <c r="P52" s="2">
        <f t="shared" si="19"/>
        <v>148.1</v>
      </c>
      <c r="Q52" s="2">
        <f t="shared" si="29"/>
        <v>150.03129068814826</v>
      </c>
      <c r="R52" s="2">
        <f t="shared" si="30"/>
        <v>1.0350310785221275</v>
      </c>
      <c r="S52" s="2">
        <f t="shared" si="24"/>
        <v>151.0663217666704</v>
      </c>
      <c r="T52" s="2">
        <f t="shared" si="25"/>
        <v>-2.9663217666704043</v>
      </c>
      <c r="U52" s="2">
        <f t="shared" si="26"/>
        <v>2.002918140898315</v>
      </c>
      <c r="W52">
        <v>22</v>
      </c>
      <c r="X52">
        <f t="shared" si="20"/>
        <v>148.1</v>
      </c>
      <c r="Y52">
        <f t="shared" si="31"/>
        <v>149.50022618727596</v>
      </c>
      <c r="Z52">
        <f t="shared" si="32"/>
        <v>-0.11070507618959113</v>
      </c>
      <c r="AA52">
        <f t="shared" si="33"/>
        <v>149.38952111108637</v>
      </c>
      <c r="AB52">
        <f t="shared" si="34"/>
        <v>-1.2895211110863727</v>
      </c>
      <c r="AC52">
        <f t="shared" si="35"/>
        <v>0.87070973064576151</v>
      </c>
    </row>
    <row r="53" spans="7:29" x14ac:dyDescent="0.35">
      <c r="G53">
        <v>23</v>
      </c>
      <c r="H53">
        <f t="shared" si="18"/>
        <v>141.5</v>
      </c>
      <c r="I53">
        <f t="shared" si="27"/>
        <v>152.03883209249125</v>
      </c>
      <c r="J53">
        <f t="shared" si="28"/>
        <v>3.9264780608945968</v>
      </c>
      <c r="K53">
        <f t="shared" si="21"/>
        <v>155.96531015338584</v>
      </c>
      <c r="L53">
        <f t="shared" si="22"/>
        <v>-14.465310153385843</v>
      </c>
      <c r="M53">
        <f t="shared" si="23"/>
        <v>10.222834030661373</v>
      </c>
      <c r="O53" s="2">
        <v>23</v>
      </c>
      <c r="P53" s="2">
        <f t="shared" si="19"/>
        <v>141.5</v>
      </c>
      <c r="Q53" s="2">
        <f t="shared" si="29"/>
        <v>144.36989653000111</v>
      </c>
      <c r="R53" s="2">
        <f t="shared" si="30"/>
        <v>-3.652466587146364</v>
      </c>
      <c r="S53" s="2">
        <f t="shared" si="24"/>
        <v>140.71742994285475</v>
      </c>
      <c r="T53" s="2">
        <f t="shared" si="25"/>
        <v>0.78257005714525008</v>
      </c>
      <c r="U53" s="2">
        <f t="shared" si="26"/>
        <v>0.55305304391890464</v>
      </c>
      <c r="W53">
        <v>23</v>
      </c>
      <c r="X53">
        <f t="shared" si="20"/>
        <v>141.5</v>
      </c>
      <c r="Y53">
        <f t="shared" si="31"/>
        <v>143.07790422221728</v>
      </c>
      <c r="Z53">
        <f t="shared" si="32"/>
        <v>-5.1599985872848553</v>
      </c>
      <c r="AA53">
        <f t="shared" si="33"/>
        <v>137.91790563493242</v>
      </c>
      <c r="AB53">
        <f t="shared" si="34"/>
        <v>3.5820943650675758</v>
      </c>
      <c r="AC53">
        <f t="shared" si="35"/>
        <v>2.5315154523445766</v>
      </c>
    </row>
    <row r="54" spans="7:29" x14ac:dyDescent="0.35">
      <c r="G54">
        <v>24</v>
      </c>
      <c r="H54">
        <f t="shared" si="18"/>
        <v>146.9</v>
      </c>
      <c r="I54">
        <f t="shared" si="27"/>
        <v>154.15224812270867</v>
      </c>
      <c r="J54">
        <f t="shared" si="28"/>
        <v>3.5638656547591623</v>
      </c>
      <c r="K54">
        <f t="shared" si="21"/>
        <v>157.71611377746783</v>
      </c>
      <c r="L54">
        <f t="shared" si="22"/>
        <v>-10.81611377746782</v>
      </c>
      <c r="M54">
        <f t="shared" si="23"/>
        <v>7.3629093107337091</v>
      </c>
      <c r="O54" s="2">
        <v>24</v>
      </c>
      <c r="P54" s="2">
        <f t="shared" si="19"/>
        <v>146.9</v>
      </c>
      <c r="Q54" s="2">
        <f t="shared" si="29"/>
        <v>145.04522898285643</v>
      </c>
      <c r="R54" s="2">
        <f t="shared" si="30"/>
        <v>-0.62300725914518873</v>
      </c>
      <c r="S54" s="2">
        <f t="shared" si="24"/>
        <v>144.42222172371123</v>
      </c>
      <c r="T54" s="2">
        <f t="shared" si="25"/>
        <v>2.4777782762887739</v>
      </c>
      <c r="U54" s="2">
        <f t="shared" si="26"/>
        <v>1.6867108756220379</v>
      </c>
      <c r="W54">
        <v>24</v>
      </c>
      <c r="X54">
        <f t="shared" si="20"/>
        <v>146.9</v>
      </c>
      <c r="Y54">
        <f t="shared" si="31"/>
        <v>145.10358112698648</v>
      </c>
      <c r="Z54">
        <f t="shared" si="32"/>
        <v>0.58854180635838849</v>
      </c>
      <c r="AA54">
        <f t="shared" si="33"/>
        <v>145.69212293334488</v>
      </c>
      <c r="AB54">
        <f t="shared" si="34"/>
        <v>1.2078770666551293</v>
      </c>
      <c r="AC54">
        <f t="shared" si="35"/>
        <v>0.82224442930914177</v>
      </c>
    </row>
    <row r="55" spans="7:29" x14ac:dyDescent="0.35">
      <c r="G55" t="s">
        <v>3</v>
      </c>
      <c r="M55">
        <f>AVERAGE(M32:M54)</f>
        <v>15.735856985894431</v>
      </c>
      <c r="O55" s="2" t="s">
        <v>21</v>
      </c>
      <c r="P55" s="2"/>
      <c r="Q55" s="2"/>
      <c r="R55" s="2"/>
      <c r="S55" s="2"/>
      <c r="T55" s="2"/>
      <c r="U55" s="6">
        <f>AVERAGE(U32:U54)</f>
        <v>2.0723705127197429</v>
      </c>
      <c r="W55" t="s">
        <v>3</v>
      </c>
      <c r="AC55">
        <f>AVERAGE(AC32:AC54)</f>
        <v>2.1099246990849125</v>
      </c>
    </row>
    <row r="56" spans="7:29" x14ac:dyDescent="0.35">
      <c r="G56" t="s">
        <v>19</v>
      </c>
      <c r="H56">
        <v>0.2</v>
      </c>
      <c r="O56" s="2" t="s">
        <v>19</v>
      </c>
      <c r="P56" s="2">
        <v>0.7</v>
      </c>
      <c r="Q56" s="2"/>
      <c r="R56" s="2"/>
      <c r="S56" s="2"/>
      <c r="T56" s="2"/>
      <c r="U56" s="2"/>
      <c r="W56" t="s">
        <v>19</v>
      </c>
      <c r="X56">
        <v>0.8</v>
      </c>
    </row>
    <row r="57" spans="7:29" x14ac:dyDescent="0.35">
      <c r="G57" s="4" t="s">
        <v>20</v>
      </c>
      <c r="H57">
        <v>0.2</v>
      </c>
      <c r="O57" s="5" t="s">
        <v>20</v>
      </c>
      <c r="P57" s="2">
        <v>0.7</v>
      </c>
      <c r="Q57" s="2"/>
      <c r="R57" s="2"/>
      <c r="S57" s="2"/>
      <c r="T57" s="2"/>
      <c r="U57" s="2"/>
      <c r="W57" s="4" t="s">
        <v>20</v>
      </c>
      <c r="X5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</vt:lpstr>
      <vt:lpstr>DMA</vt:lpstr>
      <vt:lpstr>SES</vt:lpstr>
      <vt:lpstr>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atikah maulina</dc:creator>
  <cp:lastModifiedBy>atikah maulina</cp:lastModifiedBy>
  <dcterms:created xsi:type="dcterms:W3CDTF">2026-08-20T06:02:31Z</dcterms:created>
  <dcterms:modified xsi:type="dcterms:W3CDTF">2026-08-24T01:21:44Z</dcterms:modified>
</cp:coreProperties>
</file>